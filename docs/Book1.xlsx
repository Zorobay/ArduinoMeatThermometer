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bastian\ArduinoMeatThermometer\docs\"/>
    </mc:Choice>
  </mc:AlternateContent>
  <xr:revisionPtr revIDLastSave="0" documentId="8_{F5E86AFB-E122-41E3-AA51-D6456FC986E5}" xr6:coauthVersionLast="47" xr6:coauthVersionMax="47" xr10:uidLastSave="{00000000-0000-0000-0000-000000000000}"/>
  <bookViews>
    <workbookView xWindow="-120" yWindow="-120" windowWidth="38640" windowHeight="21240" activeTab="1" xr2:uid="{656D1CD6-851B-4DE6-A522-E1AD54F79879}"/>
  </bookViews>
  <sheets>
    <sheet name="Main" sheetId="2" r:id="rId1"/>
    <sheet name="21.5℃" sheetId="1" r:id="rId2"/>
    <sheet name="55℃" sheetId="3" r:id="rId3"/>
    <sheet name="90℃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  <c r="C17" i="2"/>
  <c r="C16" i="2"/>
  <c r="B18" i="2"/>
  <c r="B17" i="2"/>
  <c r="B16" i="2"/>
  <c r="C10" i="2"/>
  <c r="C7" i="2"/>
  <c r="C4" i="2"/>
  <c r="H3" i="4"/>
  <c r="E3" i="4"/>
  <c r="B3" i="4"/>
  <c r="C9" i="2"/>
  <c r="C6" i="2"/>
  <c r="C3" i="2"/>
  <c r="C8" i="2"/>
  <c r="C5" i="2"/>
  <c r="C2" i="2"/>
  <c r="H3" i="3"/>
  <c r="E3" i="3"/>
  <c r="B3" i="3"/>
  <c r="H3" i="1"/>
  <c r="E3" i="1"/>
  <c r="B3" i="1"/>
</calcChain>
</file>

<file path=xl/sharedStrings.xml><?xml version="1.0" encoding="utf-8"?>
<sst xmlns="http://schemas.openxmlformats.org/spreadsheetml/2006/main" count="60" uniqueCount="12">
  <si>
    <t>Resistance</t>
  </si>
  <si>
    <t>Temperature</t>
  </si>
  <si>
    <t>ADC value</t>
  </si>
  <si>
    <t>47kΩ</t>
  </si>
  <si>
    <t>20kΩ</t>
  </si>
  <si>
    <t>100kΩ</t>
  </si>
  <si>
    <t>Temperature (℃)</t>
  </si>
  <si>
    <t>Time (s)</t>
  </si>
  <si>
    <t>Avg. ADC</t>
  </si>
  <si>
    <t>ADC</t>
  </si>
  <si>
    <t>ADC range (21 to 90)</t>
  </si>
  <si>
    <t>ADC range (55 to 90)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</si>
</sst>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.##0&quot; Ω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1" fillId="0" borderId="3" xfId="0" applyFont="1" applyBorder="1"/>
    <xf numFmtId="2" fontId="0" fillId="0" borderId="0" xfId="0" applyNumberFormat="1"/>
    <xf numFmtId="1" fontId="0" fillId="0" borderId="0" xfId="0" applyNumberFormat="1"/>
    <xf numFmtId="167" fontId="0" fillId="0" borderId="2" xfId="0" applyNumberFormat="1" applyBorder="1" applyAlignment="1">
      <alignment horizontal="left"/>
    </xf>
    <xf numFmtId="0" fontId="0" fillId="0" borderId="0" xfId="0" applyBorder="1"/>
    <xf numFmtId="0" fontId="1" fillId="0" borderId="5" xfId="0" applyFont="1" applyBorder="1"/>
    <xf numFmtId="0" fontId="0" fillId="0" borderId="6" xfId="0" applyBorder="1" applyAlignment="1">
      <alignment horizontal="left"/>
    </xf>
    <xf numFmtId="1" fontId="0" fillId="0" borderId="4" xfId="0" applyNumberFormat="1" applyBorder="1" applyAlignment="1">
      <alignment horizontal="left"/>
    </xf>
    <xf numFmtId="3" fontId="0" fillId="0" borderId="7" xfId="0" applyNumberFormat="1" applyBorder="1"/>
    <xf numFmtId="0" fontId="0" fillId="0" borderId="8" xfId="0" applyBorder="1"/>
    <xf numFmtId="1" fontId="0" fillId="0" borderId="9" xfId="0" applyNumberFormat="1" applyBorder="1"/>
    <xf numFmtId="3" fontId="0" fillId="0" borderId="10" xfId="0" applyNumberFormat="1" applyBorder="1"/>
    <xf numFmtId="1" fontId="0" fillId="0" borderId="11" xfId="0" applyNumberFormat="1" applyBorder="1"/>
    <xf numFmtId="3" fontId="0" fillId="0" borderId="12" xfId="0" applyNumberFormat="1" applyBorder="1"/>
    <xf numFmtId="0" fontId="0" fillId="0" borderId="13" xfId="0" applyBorder="1"/>
    <xf numFmtId="1" fontId="0" fillId="0" borderId="14" xfId="0" applyNumberFormat="1" applyBorder="1"/>
    <xf numFmtId="1" fontId="0" fillId="0" borderId="0" xfId="0" applyNumberFormat="1" applyBorder="1"/>
    <xf numFmtId="3" fontId="0" fillId="0" borderId="0" xfId="0" applyNumberFormat="1" applyFont="1" applyBorder="1"/>
  </cellXfs>
  <cellStyles count="1">
    <cellStyle name="Normal" xfId="0" builtinId="0"/>
  </cellStyles>
  <dxfs count="20"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1" formatCode="0"/>
    </dxf>
    <dxf>
      <numFmt numFmtId="3" formatCode="#,##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1" formatCode="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5081714785651792"/>
          <c:y val="5.0925925925925923E-2"/>
          <c:w val="0.81029396325459324"/>
          <c:h val="0.63759988334791484"/>
        </c:manualLayout>
      </c:layout>
      <c:barChart>
        <c:barDir val="col"/>
        <c:grouping val="clustered"/>
        <c:varyColors val="0"/>
        <c:ser>
          <c:idx val="0"/>
          <c:order val="0"/>
          <c:tx>
            <c:v>20kΩ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Main!$B$8:$B$10</c:f>
              <c:numCache>
                <c:formatCode>General</c:formatCode>
                <c:ptCount val="3"/>
                <c:pt idx="0">
                  <c:v>21.5</c:v>
                </c:pt>
                <c:pt idx="1">
                  <c:v>55</c:v>
                </c:pt>
                <c:pt idx="2">
                  <c:v>90</c:v>
                </c:pt>
              </c:numCache>
            </c:numRef>
          </c:cat>
          <c:val>
            <c:numRef>
              <c:f>Main!$C$2:$C$4</c:f>
              <c:numCache>
                <c:formatCode>0</c:formatCode>
                <c:ptCount val="3"/>
                <c:pt idx="0">
                  <c:v>1499.7346938775511</c:v>
                </c:pt>
                <c:pt idx="1">
                  <c:v>984.6349206349206</c:v>
                </c:pt>
                <c:pt idx="2">
                  <c:v>757.07547169811323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4F-4AAD-B108-84E2730AB7B8}"/>
            </c:ext>
          </c:extLst>
        </c:ser>
        <c:ser>
          <c:idx val="1"/>
          <c:order val="1"/>
          <c:tx>
            <c:v>47kΩ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Main!$B$8:$B$10</c:f>
              <c:numCache>
                <c:formatCode>General</c:formatCode>
                <c:ptCount val="3"/>
                <c:pt idx="0">
                  <c:v>21.5</c:v>
                </c:pt>
                <c:pt idx="1">
                  <c:v>55</c:v>
                </c:pt>
                <c:pt idx="2">
                  <c:v>90</c:v>
                </c:pt>
              </c:numCache>
            </c:numRef>
          </c:cat>
          <c:val>
            <c:numRef>
              <c:f>Main!$C$5:$C$7</c:f>
              <c:numCache>
                <c:formatCode>0</c:formatCode>
                <c:ptCount val="3"/>
                <c:pt idx="0">
                  <c:v>952.58823529411768</c:v>
                </c:pt>
                <c:pt idx="1">
                  <c:v>567.64406779661022</c:v>
                </c:pt>
                <c:pt idx="2">
                  <c:v>402.25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F4F-4AAD-B108-84E2730AB7B8}"/>
            </c:ext>
          </c:extLst>
        </c:ser>
        <c:ser>
          <c:idx val="2"/>
          <c:order val="2"/>
          <c:tx>
            <c:v>100kΩ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Main!$B$8:$B$10</c:f>
              <c:numCache>
                <c:formatCode>General</c:formatCode>
                <c:ptCount val="3"/>
                <c:pt idx="0">
                  <c:v>21.5</c:v>
                </c:pt>
                <c:pt idx="1">
                  <c:v>55</c:v>
                </c:pt>
                <c:pt idx="2">
                  <c:v>90</c:v>
                </c:pt>
              </c:numCache>
            </c:numRef>
          </c:cat>
          <c:val>
            <c:numRef>
              <c:f>Main!$C$8:$C$10</c:f>
              <c:numCache>
                <c:formatCode>0</c:formatCode>
                <c:ptCount val="3"/>
                <c:pt idx="0">
                  <c:v>611.94000000000005</c:v>
                </c:pt>
                <c:pt idx="1">
                  <c:v>323.16417910447763</c:v>
                </c:pt>
                <c:pt idx="2">
                  <c:v>192.44642857142858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4F-4AAD-B108-84E2730AB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3499551"/>
        <c:axId val="1333500031"/>
      </c:barChart>
      <c:catAx>
        <c:axId val="13334995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(℃)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3500031"/>
        <c:crosses val="autoZero"/>
        <c:auto val="1"/>
        <c:lblAlgn val="ctr"/>
        <c:lblOffset val="100"/>
        <c:noMultiLvlLbl val="0"/>
      </c:catAx>
      <c:valAx>
        <c:axId val="133350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ADC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3499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ADC value (21.5℃)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'21.5℃'!$B$1</c:f>
              <c:strCache>
                <c:ptCount val="1"/>
                <c:pt idx="0">
                  <c:v>20kΩ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'21.5℃'!$A$5:$A$53</c:f>
              <c:numCache>
                <c:formatCode>0.00</c:formatCode>
                <c:ptCount val="4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</c:numCache>
            </c:numRef>
          </c:xVal>
          <c:yVal>
            <c:numRef>
              <c:f>'21.5℃'!$B$5:$B$53</c:f>
              <c:numCache>
                <c:formatCode>0</c:formatCode>
                <c:ptCount val="49"/>
                <c:pt idx="0">
                  <c:v>1499</c:v>
                </c:pt>
                <c:pt idx="1">
                  <c:v>1499</c:v>
                </c:pt>
                <c:pt idx="2">
                  <c:v>1529</c:v>
                </c:pt>
                <c:pt idx="3">
                  <c:v>1511</c:v>
                </c:pt>
                <c:pt idx="4">
                  <c:v>1508</c:v>
                </c:pt>
                <c:pt idx="5">
                  <c:v>1518</c:v>
                </c:pt>
                <c:pt idx="6">
                  <c:v>1515</c:v>
                </c:pt>
                <c:pt idx="7">
                  <c:v>1526</c:v>
                </c:pt>
                <c:pt idx="8">
                  <c:v>1495</c:v>
                </c:pt>
                <c:pt idx="9">
                  <c:v>1513</c:v>
                </c:pt>
                <c:pt idx="10">
                  <c:v>1518</c:v>
                </c:pt>
                <c:pt idx="11">
                  <c:v>1521</c:v>
                </c:pt>
                <c:pt idx="12">
                  <c:v>1514</c:v>
                </c:pt>
                <c:pt idx="13">
                  <c:v>1499</c:v>
                </c:pt>
                <c:pt idx="14">
                  <c:v>1495</c:v>
                </c:pt>
                <c:pt idx="15">
                  <c:v>1505</c:v>
                </c:pt>
                <c:pt idx="16">
                  <c:v>1504</c:v>
                </c:pt>
                <c:pt idx="17">
                  <c:v>1506</c:v>
                </c:pt>
                <c:pt idx="18">
                  <c:v>1514</c:v>
                </c:pt>
                <c:pt idx="19">
                  <c:v>1495</c:v>
                </c:pt>
                <c:pt idx="20">
                  <c:v>1505</c:v>
                </c:pt>
                <c:pt idx="21">
                  <c:v>1494</c:v>
                </c:pt>
                <c:pt idx="22">
                  <c:v>1515</c:v>
                </c:pt>
                <c:pt idx="23">
                  <c:v>1491</c:v>
                </c:pt>
                <c:pt idx="24">
                  <c:v>1498</c:v>
                </c:pt>
                <c:pt idx="25">
                  <c:v>1502</c:v>
                </c:pt>
                <c:pt idx="26">
                  <c:v>1494</c:v>
                </c:pt>
                <c:pt idx="27">
                  <c:v>1488</c:v>
                </c:pt>
                <c:pt idx="28">
                  <c:v>1501</c:v>
                </c:pt>
                <c:pt idx="29">
                  <c:v>1504</c:v>
                </c:pt>
                <c:pt idx="30">
                  <c:v>1497</c:v>
                </c:pt>
                <c:pt idx="31">
                  <c:v>1461</c:v>
                </c:pt>
                <c:pt idx="32">
                  <c:v>1490</c:v>
                </c:pt>
                <c:pt idx="33">
                  <c:v>1499</c:v>
                </c:pt>
                <c:pt idx="34">
                  <c:v>1501</c:v>
                </c:pt>
                <c:pt idx="35">
                  <c:v>1494</c:v>
                </c:pt>
                <c:pt idx="36">
                  <c:v>1514</c:v>
                </c:pt>
                <c:pt idx="37">
                  <c:v>1491</c:v>
                </c:pt>
                <c:pt idx="38">
                  <c:v>1488</c:v>
                </c:pt>
                <c:pt idx="39">
                  <c:v>1490</c:v>
                </c:pt>
                <c:pt idx="40">
                  <c:v>1489</c:v>
                </c:pt>
                <c:pt idx="41">
                  <c:v>1503</c:v>
                </c:pt>
                <c:pt idx="42">
                  <c:v>1491</c:v>
                </c:pt>
                <c:pt idx="43">
                  <c:v>1491</c:v>
                </c:pt>
                <c:pt idx="44">
                  <c:v>1476</c:v>
                </c:pt>
                <c:pt idx="45">
                  <c:v>1479</c:v>
                </c:pt>
                <c:pt idx="46">
                  <c:v>1484</c:v>
                </c:pt>
                <c:pt idx="47">
                  <c:v>1486</c:v>
                </c:pt>
                <c:pt idx="48">
                  <c:v>1487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7-45D6-970F-C129ED729BE6}"/>
            </c:ext>
          </c:extLst>
        </c:ser>
        <c:ser>
          <c:idx val="1"/>
          <c:order val="1"/>
          <c:tx>
            <c:strRef>
              <c:f>'21.5℃'!$E$1</c:f>
              <c:strCache>
                <c:ptCount val="1"/>
                <c:pt idx="0">
                  <c:v>47kΩ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'21.5℃'!$D$5:$D$55</c:f>
              <c:numCache>
                <c:formatCode>0.00</c:formatCode>
                <c:ptCount val="51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</c:numCache>
            </c:numRef>
          </c:xVal>
          <c:yVal>
            <c:numRef>
              <c:f>'21.5℃'!$E$5:$E$55</c:f>
              <c:numCache>
                <c:formatCode>General</c:formatCode>
                <c:ptCount val="51"/>
                <c:pt idx="0">
                  <c:v>938</c:v>
                </c:pt>
                <c:pt idx="1">
                  <c:v>941</c:v>
                </c:pt>
                <c:pt idx="2">
                  <c:v>945</c:v>
                </c:pt>
                <c:pt idx="3">
                  <c:v>931</c:v>
                </c:pt>
                <c:pt idx="4">
                  <c:v>954</c:v>
                </c:pt>
                <c:pt idx="5">
                  <c:v>947</c:v>
                </c:pt>
                <c:pt idx="6">
                  <c:v>944</c:v>
                </c:pt>
                <c:pt idx="7">
                  <c:v>935</c:v>
                </c:pt>
                <c:pt idx="8">
                  <c:v>948</c:v>
                </c:pt>
                <c:pt idx="9">
                  <c:v>949</c:v>
                </c:pt>
                <c:pt idx="10">
                  <c:v>955</c:v>
                </c:pt>
                <c:pt idx="11">
                  <c:v>944</c:v>
                </c:pt>
                <c:pt idx="12">
                  <c:v>947</c:v>
                </c:pt>
                <c:pt idx="13">
                  <c:v>944</c:v>
                </c:pt>
                <c:pt idx="14">
                  <c:v>927</c:v>
                </c:pt>
                <c:pt idx="15">
                  <c:v>959</c:v>
                </c:pt>
                <c:pt idx="16">
                  <c:v>950</c:v>
                </c:pt>
                <c:pt idx="17">
                  <c:v>944</c:v>
                </c:pt>
                <c:pt idx="18">
                  <c:v>955</c:v>
                </c:pt>
                <c:pt idx="19">
                  <c:v>963</c:v>
                </c:pt>
                <c:pt idx="20">
                  <c:v>961</c:v>
                </c:pt>
                <c:pt idx="21">
                  <c:v>965</c:v>
                </c:pt>
                <c:pt idx="22">
                  <c:v>944</c:v>
                </c:pt>
                <c:pt idx="23">
                  <c:v>958</c:v>
                </c:pt>
                <c:pt idx="24">
                  <c:v>961</c:v>
                </c:pt>
                <c:pt idx="25">
                  <c:v>946</c:v>
                </c:pt>
                <c:pt idx="26">
                  <c:v>944</c:v>
                </c:pt>
                <c:pt idx="27">
                  <c:v>967</c:v>
                </c:pt>
                <c:pt idx="28">
                  <c:v>967</c:v>
                </c:pt>
                <c:pt idx="29">
                  <c:v>946</c:v>
                </c:pt>
                <c:pt idx="30">
                  <c:v>944</c:v>
                </c:pt>
                <c:pt idx="31">
                  <c:v>962</c:v>
                </c:pt>
                <c:pt idx="32">
                  <c:v>957</c:v>
                </c:pt>
                <c:pt idx="33">
                  <c:v>961</c:v>
                </c:pt>
                <c:pt idx="34">
                  <c:v>954</c:v>
                </c:pt>
                <c:pt idx="35">
                  <c:v>953</c:v>
                </c:pt>
                <c:pt idx="36">
                  <c:v>957</c:v>
                </c:pt>
                <c:pt idx="37">
                  <c:v>959</c:v>
                </c:pt>
                <c:pt idx="38">
                  <c:v>954</c:v>
                </c:pt>
                <c:pt idx="39">
                  <c:v>957</c:v>
                </c:pt>
                <c:pt idx="40">
                  <c:v>959</c:v>
                </c:pt>
                <c:pt idx="41">
                  <c:v>960</c:v>
                </c:pt>
                <c:pt idx="42">
                  <c:v>974</c:v>
                </c:pt>
                <c:pt idx="43">
                  <c:v>959</c:v>
                </c:pt>
                <c:pt idx="44">
                  <c:v>956</c:v>
                </c:pt>
                <c:pt idx="45">
                  <c:v>955</c:v>
                </c:pt>
                <c:pt idx="46">
                  <c:v>946</c:v>
                </c:pt>
                <c:pt idx="47">
                  <c:v>955</c:v>
                </c:pt>
                <c:pt idx="48">
                  <c:v>953</c:v>
                </c:pt>
                <c:pt idx="49">
                  <c:v>972</c:v>
                </c:pt>
                <c:pt idx="50">
                  <c:v>956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C1B7-45D6-970F-C129ED729BE6}"/>
            </c:ext>
          </c:extLst>
        </c:ser>
        <c:ser>
          <c:idx val="2"/>
          <c:order val="2"/>
          <c:tx>
            <c:strRef>
              <c:f>'21.5℃'!$H$1</c:f>
              <c:strCache>
                <c:ptCount val="1"/>
                <c:pt idx="0">
                  <c:v>100kΩ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'21.5℃'!$G$5:$G$54</c:f>
              <c:numCache>
                <c:formatCode>0.00</c:formatCode>
                <c:ptCount val="50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</c:numCache>
            </c:numRef>
          </c:xVal>
          <c:yVal>
            <c:numRef>
              <c:f>'21.5℃'!$H$5:$H$54</c:f>
              <c:numCache>
                <c:formatCode>General</c:formatCode>
                <c:ptCount val="50"/>
                <c:pt idx="0">
                  <c:v>603</c:v>
                </c:pt>
                <c:pt idx="1">
                  <c:v>611</c:v>
                </c:pt>
                <c:pt idx="2">
                  <c:v>596</c:v>
                </c:pt>
                <c:pt idx="3">
                  <c:v>605</c:v>
                </c:pt>
                <c:pt idx="4">
                  <c:v>588</c:v>
                </c:pt>
                <c:pt idx="5">
                  <c:v>595</c:v>
                </c:pt>
                <c:pt idx="6">
                  <c:v>592</c:v>
                </c:pt>
                <c:pt idx="7">
                  <c:v>594</c:v>
                </c:pt>
                <c:pt idx="8">
                  <c:v>619</c:v>
                </c:pt>
                <c:pt idx="9">
                  <c:v>589</c:v>
                </c:pt>
                <c:pt idx="10">
                  <c:v>627</c:v>
                </c:pt>
                <c:pt idx="11">
                  <c:v>614</c:v>
                </c:pt>
                <c:pt idx="12">
                  <c:v>617</c:v>
                </c:pt>
                <c:pt idx="13">
                  <c:v>603</c:v>
                </c:pt>
                <c:pt idx="14">
                  <c:v>607</c:v>
                </c:pt>
                <c:pt idx="15">
                  <c:v>615</c:v>
                </c:pt>
                <c:pt idx="16">
                  <c:v>617</c:v>
                </c:pt>
                <c:pt idx="17">
                  <c:v>624</c:v>
                </c:pt>
                <c:pt idx="18">
                  <c:v>599</c:v>
                </c:pt>
                <c:pt idx="19">
                  <c:v>610</c:v>
                </c:pt>
                <c:pt idx="20">
                  <c:v>619</c:v>
                </c:pt>
                <c:pt idx="21">
                  <c:v>615</c:v>
                </c:pt>
                <c:pt idx="22">
                  <c:v>613</c:v>
                </c:pt>
                <c:pt idx="23">
                  <c:v>611</c:v>
                </c:pt>
                <c:pt idx="24">
                  <c:v>622</c:v>
                </c:pt>
                <c:pt idx="25">
                  <c:v>615</c:v>
                </c:pt>
                <c:pt idx="26">
                  <c:v>609</c:v>
                </c:pt>
                <c:pt idx="27">
                  <c:v>612</c:v>
                </c:pt>
                <c:pt idx="28">
                  <c:v>624</c:v>
                </c:pt>
                <c:pt idx="29">
                  <c:v>615</c:v>
                </c:pt>
                <c:pt idx="30">
                  <c:v>617</c:v>
                </c:pt>
                <c:pt idx="31">
                  <c:v>618</c:v>
                </c:pt>
                <c:pt idx="32">
                  <c:v>618</c:v>
                </c:pt>
                <c:pt idx="33">
                  <c:v>630</c:v>
                </c:pt>
                <c:pt idx="34">
                  <c:v>616</c:v>
                </c:pt>
                <c:pt idx="35">
                  <c:v>599</c:v>
                </c:pt>
                <c:pt idx="36">
                  <c:v>608</c:v>
                </c:pt>
                <c:pt idx="37">
                  <c:v>623</c:v>
                </c:pt>
                <c:pt idx="38">
                  <c:v>621</c:v>
                </c:pt>
                <c:pt idx="39">
                  <c:v>611</c:v>
                </c:pt>
                <c:pt idx="40">
                  <c:v>619</c:v>
                </c:pt>
                <c:pt idx="41">
                  <c:v>614</c:v>
                </c:pt>
                <c:pt idx="42">
                  <c:v>607</c:v>
                </c:pt>
                <c:pt idx="43">
                  <c:v>624</c:v>
                </c:pt>
                <c:pt idx="44">
                  <c:v>614</c:v>
                </c:pt>
                <c:pt idx="45">
                  <c:v>613</c:v>
                </c:pt>
                <c:pt idx="46">
                  <c:v>610</c:v>
                </c:pt>
                <c:pt idx="47">
                  <c:v>620</c:v>
                </c:pt>
                <c:pt idx="48">
                  <c:v>624</c:v>
                </c:pt>
                <c:pt idx="49">
                  <c:v>611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C1B7-45D6-970F-C129ED729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505471"/>
        <c:axId val="1330505951"/>
      </c:scatterChart>
      <c:valAx>
        <c:axId val="13305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Elapsed</a:t>
                </a:r>
                <a:r>
                  <a:rPr lang="en-US" sz="1200" baseline="0"/>
                  <a:t> time (s)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951"/>
        <c:crosses val="autoZero"/>
        <c:crossBetween val="midCat"/>
      </c:valAx>
      <c:valAx>
        <c:axId val="13305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ADC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ADC value (55℃)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'55℃'!$B$1</c:f>
              <c:strCache>
                <c:ptCount val="1"/>
                <c:pt idx="0">
                  <c:v>20kΩ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'55℃'!$A$5:$A$67</c:f>
              <c:numCache>
                <c:formatCode>0.00</c:formatCode>
                <c:ptCount val="6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</c:numCache>
            </c:numRef>
          </c:xVal>
          <c:yVal>
            <c:numRef>
              <c:f>'55℃'!$B$5:$B$67</c:f>
              <c:numCache>
                <c:formatCode>0</c:formatCode>
                <c:ptCount val="63"/>
                <c:pt idx="0">
                  <c:v>959</c:v>
                </c:pt>
                <c:pt idx="1">
                  <c:v>958</c:v>
                </c:pt>
                <c:pt idx="2">
                  <c:v>949</c:v>
                </c:pt>
                <c:pt idx="3">
                  <c:v>959</c:v>
                </c:pt>
                <c:pt idx="4">
                  <c:v>970</c:v>
                </c:pt>
                <c:pt idx="5">
                  <c:v>970</c:v>
                </c:pt>
                <c:pt idx="6">
                  <c:v>961</c:v>
                </c:pt>
                <c:pt idx="7">
                  <c:v>957</c:v>
                </c:pt>
                <c:pt idx="8">
                  <c:v>967</c:v>
                </c:pt>
                <c:pt idx="9">
                  <c:v>971</c:v>
                </c:pt>
                <c:pt idx="10">
                  <c:v>963</c:v>
                </c:pt>
                <c:pt idx="11">
                  <c:v>947</c:v>
                </c:pt>
                <c:pt idx="12">
                  <c:v>976</c:v>
                </c:pt>
                <c:pt idx="13">
                  <c:v>976</c:v>
                </c:pt>
                <c:pt idx="14">
                  <c:v>988</c:v>
                </c:pt>
                <c:pt idx="15">
                  <c:v>976</c:v>
                </c:pt>
                <c:pt idx="16">
                  <c:v>989</c:v>
                </c:pt>
                <c:pt idx="17">
                  <c:v>986</c:v>
                </c:pt>
                <c:pt idx="18">
                  <c:v>963</c:v>
                </c:pt>
                <c:pt idx="19">
                  <c:v>987</c:v>
                </c:pt>
                <c:pt idx="20">
                  <c:v>993</c:v>
                </c:pt>
                <c:pt idx="21">
                  <c:v>986</c:v>
                </c:pt>
                <c:pt idx="22">
                  <c:v>969</c:v>
                </c:pt>
                <c:pt idx="23">
                  <c:v>978</c:v>
                </c:pt>
                <c:pt idx="24">
                  <c:v>989</c:v>
                </c:pt>
                <c:pt idx="25">
                  <c:v>981</c:v>
                </c:pt>
                <c:pt idx="26">
                  <c:v>974</c:v>
                </c:pt>
                <c:pt idx="27">
                  <c:v>973</c:v>
                </c:pt>
                <c:pt idx="28">
                  <c:v>986</c:v>
                </c:pt>
                <c:pt idx="29">
                  <c:v>986</c:v>
                </c:pt>
                <c:pt idx="30">
                  <c:v>976</c:v>
                </c:pt>
                <c:pt idx="31">
                  <c:v>995</c:v>
                </c:pt>
                <c:pt idx="32">
                  <c:v>1001</c:v>
                </c:pt>
                <c:pt idx="33">
                  <c:v>991</c:v>
                </c:pt>
                <c:pt idx="34">
                  <c:v>988</c:v>
                </c:pt>
                <c:pt idx="35">
                  <c:v>987</c:v>
                </c:pt>
                <c:pt idx="36">
                  <c:v>995</c:v>
                </c:pt>
                <c:pt idx="37">
                  <c:v>1007</c:v>
                </c:pt>
                <c:pt idx="38">
                  <c:v>995</c:v>
                </c:pt>
                <c:pt idx="39">
                  <c:v>994</c:v>
                </c:pt>
                <c:pt idx="40">
                  <c:v>991</c:v>
                </c:pt>
                <c:pt idx="41">
                  <c:v>1035</c:v>
                </c:pt>
                <c:pt idx="42">
                  <c:v>1007</c:v>
                </c:pt>
                <c:pt idx="43">
                  <c:v>995</c:v>
                </c:pt>
                <c:pt idx="44">
                  <c:v>998</c:v>
                </c:pt>
                <c:pt idx="45">
                  <c:v>994</c:v>
                </c:pt>
                <c:pt idx="46">
                  <c:v>1008</c:v>
                </c:pt>
                <c:pt idx="47">
                  <c:v>1006</c:v>
                </c:pt>
                <c:pt idx="48">
                  <c:v>998</c:v>
                </c:pt>
                <c:pt idx="49">
                  <c:v>1003</c:v>
                </c:pt>
                <c:pt idx="50">
                  <c:v>979</c:v>
                </c:pt>
                <c:pt idx="51">
                  <c:v>981</c:v>
                </c:pt>
                <c:pt idx="52">
                  <c:v>1002</c:v>
                </c:pt>
                <c:pt idx="53">
                  <c:v>997</c:v>
                </c:pt>
                <c:pt idx="54">
                  <c:v>997</c:v>
                </c:pt>
                <c:pt idx="55">
                  <c:v>1003</c:v>
                </c:pt>
                <c:pt idx="56">
                  <c:v>1002</c:v>
                </c:pt>
                <c:pt idx="57">
                  <c:v>985</c:v>
                </c:pt>
                <c:pt idx="58">
                  <c:v>995</c:v>
                </c:pt>
                <c:pt idx="59">
                  <c:v>991</c:v>
                </c:pt>
                <c:pt idx="60">
                  <c:v>990</c:v>
                </c:pt>
                <c:pt idx="61">
                  <c:v>977</c:v>
                </c:pt>
                <c:pt idx="62">
                  <c:v>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16-4A80-85C4-C59FC3F48242}"/>
            </c:ext>
          </c:extLst>
        </c:ser>
        <c:ser>
          <c:idx val="1"/>
          <c:order val="1"/>
          <c:tx>
            <c:strRef>
              <c:f>'55℃'!$E$1</c:f>
              <c:strCache>
                <c:ptCount val="1"/>
                <c:pt idx="0">
                  <c:v>47kΩ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'55℃'!$D$5:$D$63</c:f>
              <c:numCache>
                <c:formatCode>0.00</c:formatCode>
                <c:ptCount val="59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</c:numCache>
            </c:numRef>
          </c:xVal>
          <c:yVal>
            <c:numRef>
              <c:f>'55℃'!$E$5:$E$63</c:f>
              <c:numCache>
                <c:formatCode>General</c:formatCode>
                <c:ptCount val="59"/>
                <c:pt idx="0">
                  <c:v>511</c:v>
                </c:pt>
                <c:pt idx="1">
                  <c:v>507</c:v>
                </c:pt>
                <c:pt idx="2">
                  <c:v>541</c:v>
                </c:pt>
                <c:pt idx="3">
                  <c:v>525</c:v>
                </c:pt>
                <c:pt idx="4">
                  <c:v>551</c:v>
                </c:pt>
                <c:pt idx="5">
                  <c:v>545</c:v>
                </c:pt>
                <c:pt idx="6">
                  <c:v>561</c:v>
                </c:pt>
                <c:pt idx="7">
                  <c:v>547</c:v>
                </c:pt>
                <c:pt idx="8">
                  <c:v>575</c:v>
                </c:pt>
                <c:pt idx="9">
                  <c:v>555</c:v>
                </c:pt>
                <c:pt idx="10">
                  <c:v>560</c:v>
                </c:pt>
                <c:pt idx="11">
                  <c:v>561</c:v>
                </c:pt>
                <c:pt idx="12">
                  <c:v>555</c:v>
                </c:pt>
                <c:pt idx="13">
                  <c:v>558</c:v>
                </c:pt>
                <c:pt idx="14">
                  <c:v>573</c:v>
                </c:pt>
                <c:pt idx="15">
                  <c:v>560</c:v>
                </c:pt>
                <c:pt idx="16">
                  <c:v>566</c:v>
                </c:pt>
                <c:pt idx="17">
                  <c:v>576</c:v>
                </c:pt>
                <c:pt idx="18">
                  <c:v>570</c:v>
                </c:pt>
                <c:pt idx="19">
                  <c:v>574</c:v>
                </c:pt>
                <c:pt idx="20">
                  <c:v>533</c:v>
                </c:pt>
                <c:pt idx="21">
                  <c:v>558</c:v>
                </c:pt>
                <c:pt idx="22">
                  <c:v>567</c:v>
                </c:pt>
                <c:pt idx="23">
                  <c:v>566</c:v>
                </c:pt>
                <c:pt idx="24">
                  <c:v>571</c:v>
                </c:pt>
                <c:pt idx="25">
                  <c:v>573</c:v>
                </c:pt>
                <c:pt idx="26">
                  <c:v>570</c:v>
                </c:pt>
                <c:pt idx="27">
                  <c:v>562</c:v>
                </c:pt>
                <c:pt idx="28">
                  <c:v>576</c:v>
                </c:pt>
                <c:pt idx="29">
                  <c:v>560</c:v>
                </c:pt>
                <c:pt idx="30">
                  <c:v>572</c:v>
                </c:pt>
                <c:pt idx="31">
                  <c:v>564</c:v>
                </c:pt>
                <c:pt idx="32">
                  <c:v>585</c:v>
                </c:pt>
                <c:pt idx="33">
                  <c:v>565</c:v>
                </c:pt>
                <c:pt idx="34">
                  <c:v>565</c:v>
                </c:pt>
                <c:pt idx="35">
                  <c:v>583</c:v>
                </c:pt>
                <c:pt idx="36">
                  <c:v>567</c:v>
                </c:pt>
                <c:pt idx="37">
                  <c:v>585</c:v>
                </c:pt>
                <c:pt idx="38">
                  <c:v>576</c:v>
                </c:pt>
                <c:pt idx="39">
                  <c:v>577</c:v>
                </c:pt>
                <c:pt idx="40">
                  <c:v>579</c:v>
                </c:pt>
                <c:pt idx="41">
                  <c:v>579</c:v>
                </c:pt>
                <c:pt idx="42">
                  <c:v>586</c:v>
                </c:pt>
                <c:pt idx="43">
                  <c:v>571</c:v>
                </c:pt>
                <c:pt idx="44">
                  <c:v>577</c:v>
                </c:pt>
                <c:pt idx="45">
                  <c:v>578</c:v>
                </c:pt>
                <c:pt idx="46">
                  <c:v>593</c:v>
                </c:pt>
                <c:pt idx="47">
                  <c:v>592</c:v>
                </c:pt>
                <c:pt idx="48">
                  <c:v>566</c:v>
                </c:pt>
                <c:pt idx="49">
                  <c:v>588</c:v>
                </c:pt>
                <c:pt idx="50">
                  <c:v>575</c:v>
                </c:pt>
                <c:pt idx="51">
                  <c:v>590</c:v>
                </c:pt>
                <c:pt idx="52">
                  <c:v>576</c:v>
                </c:pt>
                <c:pt idx="53">
                  <c:v>592</c:v>
                </c:pt>
                <c:pt idx="54">
                  <c:v>589</c:v>
                </c:pt>
                <c:pt idx="55">
                  <c:v>578</c:v>
                </c:pt>
                <c:pt idx="56">
                  <c:v>580</c:v>
                </c:pt>
                <c:pt idx="57">
                  <c:v>578</c:v>
                </c:pt>
                <c:pt idx="58">
                  <c:v>578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916-4A80-85C4-C59FC3F48242}"/>
            </c:ext>
          </c:extLst>
        </c:ser>
        <c:ser>
          <c:idx val="2"/>
          <c:order val="2"/>
          <c:tx>
            <c:strRef>
              <c:f>'55℃'!$H$1</c:f>
              <c:strCache>
                <c:ptCount val="1"/>
                <c:pt idx="0">
                  <c:v>100kΩ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'55℃'!$G$5:$G$71</c:f>
              <c:numCache>
                <c:formatCode>0.00</c:formatCode>
                <c:ptCount val="67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  <c:pt idx="56">
                  <c:v>28</c:v>
                </c:pt>
                <c:pt idx="57">
                  <c:v>28.5</c:v>
                </c:pt>
                <c:pt idx="58">
                  <c:v>29</c:v>
                </c:pt>
                <c:pt idx="59">
                  <c:v>29.5</c:v>
                </c:pt>
                <c:pt idx="60">
                  <c:v>30</c:v>
                </c:pt>
                <c:pt idx="61">
                  <c:v>30.5</c:v>
                </c:pt>
                <c:pt idx="62">
                  <c:v>31</c:v>
                </c:pt>
                <c:pt idx="63">
                  <c:v>31.5</c:v>
                </c:pt>
                <c:pt idx="64">
                  <c:v>32</c:v>
                </c:pt>
                <c:pt idx="65">
                  <c:v>32.5</c:v>
                </c:pt>
                <c:pt idx="66">
                  <c:v>33</c:v>
                </c:pt>
              </c:numCache>
            </c:numRef>
          </c:xVal>
          <c:yVal>
            <c:numRef>
              <c:f>'55℃'!$H$5:$H$71</c:f>
              <c:numCache>
                <c:formatCode>General</c:formatCode>
                <c:ptCount val="67"/>
                <c:pt idx="0">
                  <c:v>322</c:v>
                </c:pt>
                <c:pt idx="1">
                  <c:v>321</c:v>
                </c:pt>
                <c:pt idx="2">
                  <c:v>319</c:v>
                </c:pt>
                <c:pt idx="3">
                  <c:v>321</c:v>
                </c:pt>
                <c:pt idx="4">
                  <c:v>330</c:v>
                </c:pt>
                <c:pt idx="5">
                  <c:v>331</c:v>
                </c:pt>
                <c:pt idx="6">
                  <c:v>323</c:v>
                </c:pt>
                <c:pt idx="7">
                  <c:v>323</c:v>
                </c:pt>
                <c:pt idx="8">
                  <c:v>333</c:v>
                </c:pt>
                <c:pt idx="9">
                  <c:v>335</c:v>
                </c:pt>
                <c:pt idx="10">
                  <c:v>310</c:v>
                </c:pt>
                <c:pt idx="11">
                  <c:v>333</c:v>
                </c:pt>
                <c:pt idx="12">
                  <c:v>321</c:v>
                </c:pt>
                <c:pt idx="13">
                  <c:v>321</c:v>
                </c:pt>
                <c:pt idx="14">
                  <c:v>325</c:v>
                </c:pt>
                <c:pt idx="15">
                  <c:v>318</c:v>
                </c:pt>
                <c:pt idx="16">
                  <c:v>327</c:v>
                </c:pt>
                <c:pt idx="17">
                  <c:v>320</c:v>
                </c:pt>
                <c:pt idx="18">
                  <c:v>323</c:v>
                </c:pt>
                <c:pt idx="19">
                  <c:v>320</c:v>
                </c:pt>
                <c:pt idx="20">
                  <c:v>313</c:v>
                </c:pt>
                <c:pt idx="21">
                  <c:v>336</c:v>
                </c:pt>
                <c:pt idx="22">
                  <c:v>320</c:v>
                </c:pt>
                <c:pt idx="23">
                  <c:v>327</c:v>
                </c:pt>
                <c:pt idx="24">
                  <c:v>322</c:v>
                </c:pt>
                <c:pt idx="25">
                  <c:v>320</c:v>
                </c:pt>
                <c:pt idx="26">
                  <c:v>304</c:v>
                </c:pt>
                <c:pt idx="27">
                  <c:v>318</c:v>
                </c:pt>
                <c:pt idx="28">
                  <c:v>323</c:v>
                </c:pt>
                <c:pt idx="29">
                  <c:v>325</c:v>
                </c:pt>
                <c:pt idx="30">
                  <c:v>332</c:v>
                </c:pt>
                <c:pt idx="31">
                  <c:v>313</c:v>
                </c:pt>
                <c:pt idx="32">
                  <c:v>336</c:v>
                </c:pt>
                <c:pt idx="33">
                  <c:v>324</c:v>
                </c:pt>
                <c:pt idx="34">
                  <c:v>321</c:v>
                </c:pt>
                <c:pt idx="35">
                  <c:v>315</c:v>
                </c:pt>
                <c:pt idx="36">
                  <c:v>324</c:v>
                </c:pt>
                <c:pt idx="37">
                  <c:v>332</c:v>
                </c:pt>
                <c:pt idx="38">
                  <c:v>336</c:v>
                </c:pt>
                <c:pt idx="39">
                  <c:v>322</c:v>
                </c:pt>
                <c:pt idx="40">
                  <c:v>326</c:v>
                </c:pt>
                <c:pt idx="41">
                  <c:v>327</c:v>
                </c:pt>
                <c:pt idx="42">
                  <c:v>308</c:v>
                </c:pt>
                <c:pt idx="43">
                  <c:v>335</c:v>
                </c:pt>
                <c:pt idx="44">
                  <c:v>320</c:v>
                </c:pt>
                <c:pt idx="45">
                  <c:v>329</c:v>
                </c:pt>
                <c:pt idx="46">
                  <c:v>344</c:v>
                </c:pt>
                <c:pt idx="47">
                  <c:v>319</c:v>
                </c:pt>
                <c:pt idx="48">
                  <c:v>309</c:v>
                </c:pt>
                <c:pt idx="49">
                  <c:v>315</c:v>
                </c:pt>
                <c:pt idx="50">
                  <c:v>330</c:v>
                </c:pt>
                <c:pt idx="51">
                  <c:v>311</c:v>
                </c:pt>
                <c:pt idx="52">
                  <c:v>331</c:v>
                </c:pt>
                <c:pt idx="53">
                  <c:v>318</c:v>
                </c:pt>
                <c:pt idx="54">
                  <c:v>325</c:v>
                </c:pt>
                <c:pt idx="55">
                  <c:v>338</c:v>
                </c:pt>
                <c:pt idx="56">
                  <c:v>322</c:v>
                </c:pt>
                <c:pt idx="57">
                  <c:v>307</c:v>
                </c:pt>
                <c:pt idx="58">
                  <c:v>330</c:v>
                </c:pt>
                <c:pt idx="59">
                  <c:v>323</c:v>
                </c:pt>
                <c:pt idx="60">
                  <c:v>322</c:v>
                </c:pt>
                <c:pt idx="61">
                  <c:v>322</c:v>
                </c:pt>
                <c:pt idx="62">
                  <c:v>321</c:v>
                </c:pt>
                <c:pt idx="63">
                  <c:v>322</c:v>
                </c:pt>
                <c:pt idx="64">
                  <c:v>325</c:v>
                </c:pt>
                <c:pt idx="65">
                  <c:v>311</c:v>
                </c:pt>
                <c:pt idx="66">
                  <c:v>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916-4A80-85C4-C59FC3F482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505471"/>
        <c:axId val="1330505951"/>
      </c:scatterChart>
      <c:valAx>
        <c:axId val="13305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Elapsed</a:t>
                </a:r>
                <a:r>
                  <a:rPr lang="en-US" sz="1200" baseline="0"/>
                  <a:t> time (s)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951"/>
        <c:crosses val="autoZero"/>
        <c:crossBetween val="midCat"/>
      </c:valAx>
      <c:valAx>
        <c:axId val="13305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ADC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ADC value (21.5℃)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'90℃'!$B$1</c:f>
              <c:strCache>
                <c:ptCount val="1"/>
                <c:pt idx="0">
                  <c:v>20kΩ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'90℃'!$A$5:$A$57</c:f>
              <c:numCache>
                <c:formatCode>0.00</c:formatCode>
                <c:ptCount val="53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</c:numCache>
            </c:numRef>
          </c:xVal>
          <c:yVal>
            <c:numRef>
              <c:f>'90℃'!$B$5:$B$57</c:f>
              <c:numCache>
                <c:formatCode>0</c:formatCode>
                <c:ptCount val="53"/>
                <c:pt idx="0">
                  <c:v>752</c:v>
                </c:pt>
                <c:pt idx="1">
                  <c:v>762</c:v>
                </c:pt>
                <c:pt idx="2">
                  <c:v>767</c:v>
                </c:pt>
                <c:pt idx="3">
                  <c:v>750</c:v>
                </c:pt>
                <c:pt idx="4">
                  <c:v>761</c:v>
                </c:pt>
                <c:pt idx="5">
                  <c:v>755</c:v>
                </c:pt>
                <c:pt idx="6">
                  <c:v>752</c:v>
                </c:pt>
                <c:pt idx="7">
                  <c:v>747</c:v>
                </c:pt>
                <c:pt idx="8">
                  <c:v>753</c:v>
                </c:pt>
                <c:pt idx="9">
                  <c:v>767</c:v>
                </c:pt>
                <c:pt idx="10">
                  <c:v>767</c:v>
                </c:pt>
                <c:pt idx="11">
                  <c:v>773</c:v>
                </c:pt>
                <c:pt idx="12">
                  <c:v>764</c:v>
                </c:pt>
                <c:pt idx="13">
                  <c:v>767</c:v>
                </c:pt>
                <c:pt idx="14">
                  <c:v>772</c:v>
                </c:pt>
                <c:pt idx="15">
                  <c:v>766</c:v>
                </c:pt>
                <c:pt idx="16">
                  <c:v>783</c:v>
                </c:pt>
                <c:pt idx="17">
                  <c:v>758</c:v>
                </c:pt>
                <c:pt idx="18">
                  <c:v>775</c:v>
                </c:pt>
                <c:pt idx="19">
                  <c:v>780</c:v>
                </c:pt>
                <c:pt idx="20">
                  <c:v>775</c:v>
                </c:pt>
                <c:pt idx="21">
                  <c:v>767</c:v>
                </c:pt>
                <c:pt idx="22">
                  <c:v>767</c:v>
                </c:pt>
                <c:pt idx="23">
                  <c:v>757</c:v>
                </c:pt>
                <c:pt idx="24">
                  <c:v>771</c:v>
                </c:pt>
                <c:pt idx="25">
                  <c:v>781</c:v>
                </c:pt>
                <c:pt idx="26">
                  <c:v>772</c:v>
                </c:pt>
                <c:pt idx="27">
                  <c:v>784</c:v>
                </c:pt>
                <c:pt idx="28">
                  <c:v>762</c:v>
                </c:pt>
                <c:pt idx="29">
                  <c:v>763</c:v>
                </c:pt>
                <c:pt idx="30">
                  <c:v>743</c:v>
                </c:pt>
                <c:pt idx="31">
                  <c:v>761</c:v>
                </c:pt>
                <c:pt idx="32">
                  <c:v>764</c:v>
                </c:pt>
                <c:pt idx="33">
                  <c:v>762</c:v>
                </c:pt>
                <c:pt idx="34">
                  <c:v>752</c:v>
                </c:pt>
                <c:pt idx="35">
                  <c:v>755</c:v>
                </c:pt>
                <c:pt idx="36">
                  <c:v>745</c:v>
                </c:pt>
                <c:pt idx="37">
                  <c:v>727</c:v>
                </c:pt>
                <c:pt idx="38">
                  <c:v>707</c:v>
                </c:pt>
                <c:pt idx="39">
                  <c:v>743</c:v>
                </c:pt>
                <c:pt idx="40">
                  <c:v>731</c:v>
                </c:pt>
                <c:pt idx="41">
                  <c:v>747</c:v>
                </c:pt>
                <c:pt idx="42">
                  <c:v>752</c:v>
                </c:pt>
                <c:pt idx="43">
                  <c:v>752</c:v>
                </c:pt>
                <c:pt idx="44">
                  <c:v>746</c:v>
                </c:pt>
                <c:pt idx="45">
                  <c:v>757</c:v>
                </c:pt>
                <c:pt idx="46">
                  <c:v>749</c:v>
                </c:pt>
                <c:pt idx="47">
                  <c:v>740</c:v>
                </c:pt>
                <c:pt idx="48">
                  <c:v>743</c:v>
                </c:pt>
                <c:pt idx="49">
                  <c:v>748</c:v>
                </c:pt>
                <c:pt idx="50">
                  <c:v>731</c:v>
                </c:pt>
                <c:pt idx="51">
                  <c:v>747</c:v>
                </c:pt>
                <c:pt idx="52">
                  <c:v>753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9-457F-8046-9CAB6521D92C}"/>
            </c:ext>
          </c:extLst>
        </c:ser>
        <c:ser>
          <c:idx val="1"/>
          <c:order val="1"/>
          <c:tx>
            <c:strRef>
              <c:f>'90℃'!$E$1</c:f>
              <c:strCache>
                <c:ptCount val="1"/>
                <c:pt idx="0">
                  <c:v>47kΩ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'90℃'!$D$5:$D$48</c:f>
              <c:numCache>
                <c:formatCode>0.00</c:formatCode>
                <c:ptCount val="44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</c:numCache>
            </c:numRef>
          </c:xVal>
          <c:yVal>
            <c:numRef>
              <c:f>'90℃'!$E$5:$E$48</c:f>
              <c:numCache>
                <c:formatCode>General</c:formatCode>
                <c:ptCount val="44"/>
                <c:pt idx="0">
                  <c:v>413</c:v>
                </c:pt>
                <c:pt idx="1">
                  <c:v>403</c:v>
                </c:pt>
                <c:pt idx="2">
                  <c:v>419</c:v>
                </c:pt>
                <c:pt idx="3">
                  <c:v>424</c:v>
                </c:pt>
                <c:pt idx="4">
                  <c:v>402</c:v>
                </c:pt>
                <c:pt idx="5">
                  <c:v>397</c:v>
                </c:pt>
                <c:pt idx="6">
                  <c:v>384</c:v>
                </c:pt>
                <c:pt idx="7">
                  <c:v>395</c:v>
                </c:pt>
                <c:pt idx="8">
                  <c:v>396</c:v>
                </c:pt>
                <c:pt idx="9">
                  <c:v>401</c:v>
                </c:pt>
                <c:pt idx="10">
                  <c:v>386</c:v>
                </c:pt>
                <c:pt idx="11">
                  <c:v>421</c:v>
                </c:pt>
                <c:pt idx="12">
                  <c:v>403</c:v>
                </c:pt>
                <c:pt idx="13">
                  <c:v>409</c:v>
                </c:pt>
                <c:pt idx="14">
                  <c:v>391</c:v>
                </c:pt>
                <c:pt idx="15">
                  <c:v>396</c:v>
                </c:pt>
                <c:pt idx="16">
                  <c:v>391</c:v>
                </c:pt>
                <c:pt idx="17">
                  <c:v>398</c:v>
                </c:pt>
                <c:pt idx="18">
                  <c:v>395</c:v>
                </c:pt>
                <c:pt idx="19">
                  <c:v>396</c:v>
                </c:pt>
                <c:pt idx="20">
                  <c:v>404</c:v>
                </c:pt>
                <c:pt idx="21">
                  <c:v>418</c:v>
                </c:pt>
                <c:pt idx="22">
                  <c:v>411</c:v>
                </c:pt>
                <c:pt idx="23">
                  <c:v>407</c:v>
                </c:pt>
                <c:pt idx="24">
                  <c:v>389</c:v>
                </c:pt>
                <c:pt idx="25">
                  <c:v>387</c:v>
                </c:pt>
                <c:pt idx="26">
                  <c:v>419</c:v>
                </c:pt>
                <c:pt idx="27">
                  <c:v>393</c:v>
                </c:pt>
                <c:pt idx="28">
                  <c:v>409</c:v>
                </c:pt>
                <c:pt idx="29">
                  <c:v>394</c:v>
                </c:pt>
                <c:pt idx="30">
                  <c:v>421</c:v>
                </c:pt>
                <c:pt idx="31">
                  <c:v>385</c:v>
                </c:pt>
                <c:pt idx="32">
                  <c:v>387</c:v>
                </c:pt>
                <c:pt idx="33">
                  <c:v>394</c:v>
                </c:pt>
                <c:pt idx="34">
                  <c:v>401</c:v>
                </c:pt>
                <c:pt idx="35">
                  <c:v>399</c:v>
                </c:pt>
                <c:pt idx="36">
                  <c:v>404</c:v>
                </c:pt>
                <c:pt idx="37">
                  <c:v>421</c:v>
                </c:pt>
                <c:pt idx="38">
                  <c:v>402</c:v>
                </c:pt>
                <c:pt idx="39">
                  <c:v>419</c:v>
                </c:pt>
                <c:pt idx="40">
                  <c:v>411</c:v>
                </c:pt>
                <c:pt idx="41">
                  <c:v>398</c:v>
                </c:pt>
                <c:pt idx="42">
                  <c:v>403</c:v>
                </c:pt>
                <c:pt idx="43">
                  <c:v>403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379-457F-8046-9CAB6521D92C}"/>
            </c:ext>
          </c:extLst>
        </c:ser>
        <c:ser>
          <c:idx val="2"/>
          <c:order val="2"/>
          <c:tx>
            <c:strRef>
              <c:f>'90℃'!$H$1</c:f>
              <c:strCache>
                <c:ptCount val="1"/>
                <c:pt idx="0">
                  <c:v>100kΩ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'90℃'!$G$5:$G$60</c:f>
              <c:numCache>
                <c:formatCode>0.00</c:formatCode>
                <c:ptCount val="56"/>
                <c:pt idx="0">
                  <c:v>0</c:v>
                </c:pt>
                <c:pt idx="1">
                  <c:v>0.5</c:v>
                </c:pt>
                <c:pt idx="2">
                  <c:v>1</c:v>
                </c:pt>
                <c:pt idx="3">
                  <c:v>1.5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4.5</c:v>
                </c:pt>
                <c:pt idx="10">
                  <c:v>5</c:v>
                </c:pt>
                <c:pt idx="11">
                  <c:v>5.5</c:v>
                </c:pt>
                <c:pt idx="12">
                  <c:v>6</c:v>
                </c:pt>
                <c:pt idx="13">
                  <c:v>6.5</c:v>
                </c:pt>
                <c:pt idx="14">
                  <c:v>7</c:v>
                </c:pt>
                <c:pt idx="15">
                  <c:v>7.5</c:v>
                </c:pt>
                <c:pt idx="16">
                  <c:v>8</c:v>
                </c:pt>
                <c:pt idx="17">
                  <c:v>8.5</c:v>
                </c:pt>
                <c:pt idx="18">
                  <c:v>9</c:v>
                </c:pt>
                <c:pt idx="19">
                  <c:v>9.5</c:v>
                </c:pt>
                <c:pt idx="20">
                  <c:v>10</c:v>
                </c:pt>
                <c:pt idx="21">
                  <c:v>10.5</c:v>
                </c:pt>
                <c:pt idx="22">
                  <c:v>11</c:v>
                </c:pt>
                <c:pt idx="23">
                  <c:v>11.5</c:v>
                </c:pt>
                <c:pt idx="24">
                  <c:v>12</c:v>
                </c:pt>
                <c:pt idx="25">
                  <c:v>12.5</c:v>
                </c:pt>
                <c:pt idx="26">
                  <c:v>13</c:v>
                </c:pt>
                <c:pt idx="27">
                  <c:v>13.5</c:v>
                </c:pt>
                <c:pt idx="28">
                  <c:v>14</c:v>
                </c:pt>
                <c:pt idx="29">
                  <c:v>14.5</c:v>
                </c:pt>
                <c:pt idx="30">
                  <c:v>15</c:v>
                </c:pt>
                <c:pt idx="31">
                  <c:v>15.5</c:v>
                </c:pt>
                <c:pt idx="32">
                  <c:v>16</c:v>
                </c:pt>
                <c:pt idx="33">
                  <c:v>16.5</c:v>
                </c:pt>
                <c:pt idx="34">
                  <c:v>17</c:v>
                </c:pt>
                <c:pt idx="35">
                  <c:v>17.5</c:v>
                </c:pt>
                <c:pt idx="36">
                  <c:v>18</c:v>
                </c:pt>
                <c:pt idx="37">
                  <c:v>18.5</c:v>
                </c:pt>
                <c:pt idx="38">
                  <c:v>19</c:v>
                </c:pt>
                <c:pt idx="39">
                  <c:v>19.5</c:v>
                </c:pt>
                <c:pt idx="40">
                  <c:v>20</c:v>
                </c:pt>
                <c:pt idx="41">
                  <c:v>20.5</c:v>
                </c:pt>
                <c:pt idx="42">
                  <c:v>21</c:v>
                </c:pt>
                <c:pt idx="43">
                  <c:v>21.5</c:v>
                </c:pt>
                <c:pt idx="44">
                  <c:v>22</c:v>
                </c:pt>
                <c:pt idx="45">
                  <c:v>22.5</c:v>
                </c:pt>
                <c:pt idx="46">
                  <c:v>23</c:v>
                </c:pt>
                <c:pt idx="47">
                  <c:v>23.5</c:v>
                </c:pt>
                <c:pt idx="48">
                  <c:v>24</c:v>
                </c:pt>
                <c:pt idx="49">
                  <c:v>24.5</c:v>
                </c:pt>
                <c:pt idx="50">
                  <c:v>25</c:v>
                </c:pt>
                <c:pt idx="51">
                  <c:v>25.5</c:v>
                </c:pt>
                <c:pt idx="52">
                  <c:v>26</c:v>
                </c:pt>
                <c:pt idx="53">
                  <c:v>26.5</c:v>
                </c:pt>
                <c:pt idx="54">
                  <c:v>27</c:v>
                </c:pt>
                <c:pt idx="55">
                  <c:v>27.5</c:v>
                </c:pt>
              </c:numCache>
            </c:numRef>
          </c:xVal>
          <c:yVal>
            <c:numRef>
              <c:f>'90℃'!$H$5:$H$60</c:f>
              <c:numCache>
                <c:formatCode>General</c:formatCode>
                <c:ptCount val="56"/>
                <c:pt idx="0">
                  <c:v>209</c:v>
                </c:pt>
                <c:pt idx="1">
                  <c:v>201</c:v>
                </c:pt>
                <c:pt idx="2">
                  <c:v>195</c:v>
                </c:pt>
                <c:pt idx="3">
                  <c:v>181</c:v>
                </c:pt>
                <c:pt idx="4">
                  <c:v>190</c:v>
                </c:pt>
                <c:pt idx="5">
                  <c:v>176</c:v>
                </c:pt>
                <c:pt idx="6">
                  <c:v>196</c:v>
                </c:pt>
                <c:pt idx="7">
                  <c:v>208</c:v>
                </c:pt>
                <c:pt idx="8">
                  <c:v>193</c:v>
                </c:pt>
                <c:pt idx="9">
                  <c:v>197</c:v>
                </c:pt>
                <c:pt idx="10">
                  <c:v>190</c:v>
                </c:pt>
                <c:pt idx="11">
                  <c:v>194</c:v>
                </c:pt>
                <c:pt idx="12">
                  <c:v>206</c:v>
                </c:pt>
                <c:pt idx="13">
                  <c:v>206</c:v>
                </c:pt>
                <c:pt idx="14">
                  <c:v>183</c:v>
                </c:pt>
                <c:pt idx="15">
                  <c:v>194</c:v>
                </c:pt>
                <c:pt idx="16">
                  <c:v>181</c:v>
                </c:pt>
                <c:pt idx="17">
                  <c:v>192</c:v>
                </c:pt>
                <c:pt idx="18">
                  <c:v>195</c:v>
                </c:pt>
                <c:pt idx="19">
                  <c:v>186</c:v>
                </c:pt>
                <c:pt idx="20">
                  <c:v>201</c:v>
                </c:pt>
                <c:pt idx="21">
                  <c:v>200</c:v>
                </c:pt>
                <c:pt idx="22">
                  <c:v>187</c:v>
                </c:pt>
                <c:pt idx="23">
                  <c:v>193</c:v>
                </c:pt>
                <c:pt idx="24">
                  <c:v>197</c:v>
                </c:pt>
                <c:pt idx="25">
                  <c:v>192</c:v>
                </c:pt>
                <c:pt idx="26">
                  <c:v>193</c:v>
                </c:pt>
                <c:pt idx="27">
                  <c:v>193</c:v>
                </c:pt>
                <c:pt idx="28">
                  <c:v>190</c:v>
                </c:pt>
                <c:pt idx="29">
                  <c:v>185</c:v>
                </c:pt>
                <c:pt idx="30">
                  <c:v>191</c:v>
                </c:pt>
                <c:pt idx="31">
                  <c:v>195</c:v>
                </c:pt>
                <c:pt idx="32">
                  <c:v>191</c:v>
                </c:pt>
                <c:pt idx="33">
                  <c:v>185</c:v>
                </c:pt>
                <c:pt idx="34">
                  <c:v>203</c:v>
                </c:pt>
                <c:pt idx="35">
                  <c:v>196</c:v>
                </c:pt>
                <c:pt idx="36">
                  <c:v>190</c:v>
                </c:pt>
                <c:pt idx="37">
                  <c:v>195</c:v>
                </c:pt>
                <c:pt idx="38">
                  <c:v>190</c:v>
                </c:pt>
                <c:pt idx="39">
                  <c:v>187</c:v>
                </c:pt>
                <c:pt idx="40">
                  <c:v>178</c:v>
                </c:pt>
                <c:pt idx="41">
                  <c:v>192</c:v>
                </c:pt>
                <c:pt idx="42">
                  <c:v>201</c:v>
                </c:pt>
                <c:pt idx="43">
                  <c:v>177</c:v>
                </c:pt>
                <c:pt idx="44">
                  <c:v>195</c:v>
                </c:pt>
                <c:pt idx="45">
                  <c:v>183</c:v>
                </c:pt>
                <c:pt idx="46">
                  <c:v>213</c:v>
                </c:pt>
                <c:pt idx="47">
                  <c:v>187</c:v>
                </c:pt>
                <c:pt idx="48">
                  <c:v>182</c:v>
                </c:pt>
                <c:pt idx="49">
                  <c:v>189</c:v>
                </c:pt>
                <c:pt idx="50">
                  <c:v>207</c:v>
                </c:pt>
                <c:pt idx="51">
                  <c:v>188</c:v>
                </c:pt>
                <c:pt idx="52">
                  <c:v>176</c:v>
                </c:pt>
                <c:pt idx="53">
                  <c:v>197</c:v>
                </c:pt>
                <c:pt idx="54">
                  <c:v>193</c:v>
                </c:pt>
                <c:pt idx="55">
                  <c:v>192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379-457F-8046-9CAB6521D9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0505471"/>
        <c:axId val="1330505951"/>
      </c:scatterChart>
      <c:valAx>
        <c:axId val="13305054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Elapsed</a:t>
                </a:r>
                <a:r>
                  <a:rPr lang="en-US" sz="1200" baseline="0"/>
                  <a:t> time (s)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951"/>
        <c:crosses val="autoZero"/>
        <c:crossBetween val="midCat"/>
      </c:valAx>
      <c:valAx>
        <c:axId val="133050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ADC value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SE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13305054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</xdr:colOff>
      <xdr:row>1</xdr:row>
      <xdr:rowOff>42862</xdr:rowOff>
    </xdr:from>
    <xdr:to>
      <xdr:col>17</xdr:col>
      <xdr:colOff>190500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881113-7EB1-E9F9-4B7C-FEDC76043B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7</xdr:row>
      <xdr:rowOff>100011</xdr:rowOff>
    </xdr:from>
    <xdr:to>
      <xdr:col>24</xdr:col>
      <xdr:colOff>190500</xdr:colOff>
      <xdr:row>35</xdr:row>
      <xdr:rowOff>161924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8513D16-DFCA-6D06-E8B0-A9D4A5D57D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7</xdr:row>
      <xdr:rowOff>100011</xdr:rowOff>
    </xdr:from>
    <xdr:to>
      <xdr:col>24</xdr:col>
      <xdr:colOff>190500</xdr:colOff>
      <xdr:row>35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45B4D0-4600-4AE9-9747-6E9A6E5C04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290512</xdr:colOff>
      <xdr:row>7</xdr:row>
      <xdr:rowOff>100011</xdr:rowOff>
    </xdr:from>
    <xdr:to>
      <xdr:col>24</xdr:col>
      <xdr:colOff>190500</xdr:colOff>
      <xdr:row>35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1DD83B-E859-4C8A-8D68-3AD18BC4E9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82CB830-A7CC-4DA3-B931-FEC25393F62B}" name="Table7" displayName="Table7" ref="A1:C10" totalsRowShown="0">
  <autoFilter ref="A1:C10" xr:uid="{E82CB830-A7CC-4DA3-B931-FEC25393F62B}"/>
  <tableColumns count="3">
    <tableColumn id="1" xr3:uid="{D0DA386A-7A46-42AB-82F9-BE517B8E7608}" name="Resistance" dataDxfId="9">
      <calculatedColumnFormula>'21.5℃'!B1</calculatedColumnFormula>
    </tableColumn>
    <tableColumn id="2" xr3:uid="{6235ECE7-71A0-4435-AA5E-8845CC8E0620}" name="Temperature"/>
    <tableColumn id="3" xr3:uid="{446CAB50-3BF0-47CE-AE56-CA087C432DA4}" name="ADC" dataDxfId="8">
      <calculatedColumnFormula>'21.5℃'!B3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2EBF42D8-3681-43F9-8215-B0DB10CDB07E}" name="Table11" displayName="Table11" ref="A15:C18" totalsRowShown="0">
  <autoFilter ref="A15:C18" xr:uid="{2EBF42D8-3681-43F9-8215-B0DB10CDB07E}"/>
  <tableColumns count="3">
    <tableColumn id="1" xr3:uid="{55CB5DE3-37C0-4A62-BC39-C3AC4B6FA72E}" name="Resistance" dataDxfId="2"/>
    <tableColumn id="2" xr3:uid="{122C811A-C941-4939-A92A-A91922AFB14A}" name="ADC range (21 to 90)" dataDxfId="1">
      <calculatedColumnFormula>C2-C4</calculatedColumnFormula>
    </tableColumn>
    <tableColumn id="3" xr3:uid="{B7D2283E-B676-43EE-AE6D-0AA89BCD9972}" name="ADC range (55 to 90)" dataDxfId="0">
      <calculatedColumnFormula>C3-C4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55C95-50B8-4130-A82E-B41CFBC9E8D8}" name="Table1" displayName="Table1" ref="A4:B53" totalsRowShown="0" dataDxfId="19">
  <autoFilter ref="A4:B53" xr:uid="{36955C95-50B8-4130-A82E-B41CFBC9E8D8}"/>
  <tableColumns count="2">
    <tableColumn id="1" xr3:uid="{544D9FB4-861B-41A7-A924-11DCC5EF35CE}" name="Time (s)" dataDxfId="18"/>
    <tableColumn id="2" xr3:uid="{A513C5E4-28C3-455F-8B13-3222810534BC}" name="ADC value" dataDxfId="1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6CCAEF-7A16-4667-9BCA-36CE33994D40}" name="Table13" displayName="Table13" ref="D4:E55" totalsRowShown="0">
  <autoFilter ref="D4:E55" xr:uid="{436CCAEF-7A16-4667-9BCA-36CE33994D40}"/>
  <tableColumns count="2">
    <tableColumn id="1" xr3:uid="{9F2CD17B-17C9-4638-A5E1-ABE941EDFEEF}" name="Time (s)" dataDxfId="16"/>
    <tableColumn id="2" xr3:uid="{BB9D09B0-AA14-4D9C-A9C7-97E8747724CB}" name="ADC valu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72D683C-9558-4B5D-9DCE-3F0AC614A87C}" name="Table14" displayName="Table14" ref="G4:H54" totalsRowShown="0">
  <autoFilter ref="G4:H54" xr:uid="{072D683C-9558-4B5D-9DCE-3F0AC614A87C}"/>
  <tableColumns count="2">
    <tableColumn id="1" xr3:uid="{8FDA7438-A8E9-436D-A86D-DDBFA47B2055}" name="Time (s)" dataDxfId="15"/>
    <tableColumn id="2" xr3:uid="{C8CD9C09-0C11-40EE-AFC3-5AF99C46E905}" name="ADC 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41A61B8-C700-4DEF-931C-D79E2F623BF5}" name="Table15" displayName="Table15" ref="A4:B67" totalsRowShown="0" dataDxfId="14">
  <autoFilter ref="A4:B67" xr:uid="{36955C95-50B8-4130-A82E-B41CFBC9E8D8}"/>
  <tableColumns count="2">
    <tableColumn id="1" xr3:uid="{1D6D2331-FE69-4A95-A4FC-31B25ABBBCDC}" name="Time (s)" dataDxfId="13"/>
    <tableColumn id="2" xr3:uid="{0C51862E-5C92-464E-8B6C-C11E3D4EC4FB}" name="ADC value" dataDxfId="1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BB2FC47-C950-43CC-875F-5AE10C740186}" name="Table136" displayName="Table136" ref="D4:E63" totalsRowShown="0">
  <autoFilter ref="D4:E63" xr:uid="{436CCAEF-7A16-4667-9BCA-36CE33994D40}"/>
  <tableColumns count="2">
    <tableColumn id="1" xr3:uid="{A48A7090-52F5-4B5B-86F2-9721F4B472D7}" name="Time (s)" dataDxfId="11"/>
    <tableColumn id="2" xr3:uid="{9DBCC66D-EC5D-48E3-B468-7416D5D80A32}" name="ADC valu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D2C6A0-B199-495F-A5A1-51C7D8BEE012}" name="Table147" displayName="Table147" ref="G4:H71" totalsRowShown="0">
  <autoFilter ref="G4:H71" xr:uid="{072D683C-9558-4B5D-9DCE-3F0AC614A87C}"/>
  <tableColumns count="2">
    <tableColumn id="1" xr3:uid="{A90A58A9-6E13-430C-9664-EE95D38D8013}" name="Time (s)" dataDxfId="10"/>
    <tableColumn id="2" xr3:uid="{DBDAA599-2796-4D18-A353-6DCB89AC60C7}" name="ADC valu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A95166-8B94-4458-85CC-DB55C3E565B7}" name="Table159" displayName="Table159" ref="A4:B57" totalsRowShown="0" dataDxfId="7">
  <autoFilter ref="A4:B57" xr:uid="{36955C95-50B8-4130-A82E-B41CFBC9E8D8}"/>
  <tableColumns count="2">
    <tableColumn id="1" xr3:uid="{769A8B10-2F8D-49DA-8764-227D8EA8C42B}" name="Time (s)" dataDxfId="6"/>
    <tableColumn id="2" xr3:uid="{6D6542EC-1AEB-490A-BF27-EC86726B4744}" name="ADC value" dataDxfId="5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474CB78-2A3C-49B2-ADBD-7CB4E15BBB3D}" name="Table13610" displayName="Table13610" ref="D4:E48" totalsRowShown="0">
  <autoFilter ref="D4:E48" xr:uid="{436CCAEF-7A16-4667-9BCA-36CE33994D40}"/>
  <tableColumns count="2">
    <tableColumn id="1" xr3:uid="{7AEBE534-7EC1-4E89-A031-3427642FDAA3}" name="Time (s)" dataDxfId="4"/>
    <tableColumn id="2" xr3:uid="{C7C3B3B2-B111-4440-A7DC-4A891E7BB537}" name="ADC val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7FC218-C285-4FDF-BE78-4EDB1BC09F1B}" name="Table14711" displayName="Table14711" ref="G4:H60" totalsRowShown="0">
  <autoFilter ref="G4:H60" xr:uid="{072D683C-9558-4B5D-9DCE-3F0AC614A87C}"/>
  <tableColumns count="2">
    <tableColumn id="1" xr3:uid="{508A5195-AC74-4547-A65F-F6A2DBC19CC8}" name="Time (s)" dataDxfId="3"/>
    <tableColumn id="2" xr3:uid="{2D4D7DED-4B92-438A-A516-3896D2B8BE22}" name="ADC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4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Relationship Id="rId4" Type="http://schemas.openxmlformats.org/officeDocument/2006/relationships/table" Target="../tables/table8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drawing" Target="../drawings/drawing4.xml"/><Relationship Id="rId4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5E564-FAC9-4CE9-AE16-028C324A535E}">
  <dimension ref="A1:C19"/>
  <sheetViews>
    <sheetView workbookViewId="0">
      <selection activeCell="I27" sqref="I27"/>
    </sheetView>
  </sheetViews>
  <sheetFormatPr defaultRowHeight="15" x14ac:dyDescent="0.25"/>
  <cols>
    <col min="1" max="1" width="12.7109375" bestFit="1" customWidth="1"/>
    <col min="2" max="4" width="21.28515625" bestFit="1" customWidth="1"/>
  </cols>
  <sheetData>
    <row r="1" spans="1:3" x14ac:dyDescent="0.25">
      <c r="A1" t="s">
        <v>0</v>
      </c>
      <c r="B1" t="s">
        <v>1</v>
      </c>
      <c r="C1" t="s">
        <v>9</v>
      </c>
    </row>
    <row r="2" spans="1:3" x14ac:dyDescent="0.25">
      <c r="A2" s="10">
        <v>20000</v>
      </c>
      <c r="B2" s="11">
        <v>21.5</v>
      </c>
      <c r="C2" s="12">
        <f>'21.5℃'!B3</f>
        <v>1499.7346938775511</v>
      </c>
    </row>
    <row r="3" spans="1:3" x14ac:dyDescent="0.25">
      <c r="A3" s="13">
        <v>20000</v>
      </c>
      <c r="B3" s="6">
        <v>55</v>
      </c>
      <c r="C3" s="14">
        <f>'55℃'!B3</f>
        <v>984.6349206349206</v>
      </c>
    </row>
    <row r="4" spans="1:3" x14ac:dyDescent="0.25">
      <c r="A4" s="15">
        <v>20000</v>
      </c>
      <c r="B4" s="16">
        <v>90</v>
      </c>
      <c r="C4" s="17">
        <f>'90℃'!B3</f>
        <v>757.07547169811323</v>
      </c>
    </row>
    <row r="5" spans="1:3" x14ac:dyDescent="0.25">
      <c r="A5" s="10">
        <v>47000</v>
      </c>
      <c r="B5" s="11">
        <v>21.5</v>
      </c>
      <c r="C5" s="12">
        <f>'21.5℃'!E3</f>
        <v>952.58823529411768</v>
      </c>
    </row>
    <row r="6" spans="1:3" x14ac:dyDescent="0.25">
      <c r="A6" s="13">
        <v>47000</v>
      </c>
      <c r="B6" s="6">
        <v>55</v>
      </c>
      <c r="C6" s="14">
        <f>'55℃'!E3</f>
        <v>567.64406779661022</v>
      </c>
    </row>
    <row r="7" spans="1:3" x14ac:dyDescent="0.25">
      <c r="A7" s="15">
        <v>47000</v>
      </c>
      <c r="B7" s="16">
        <v>90</v>
      </c>
      <c r="C7" s="17">
        <f>'90℃'!E3</f>
        <v>402.25</v>
      </c>
    </row>
    <row r="8" spans="1:3" x14ac:dyDescent="0.25">
      <c r="A8" s="10">
        <v>100000</v>
      </c>
      <c r="B8" s="11">
        <v>21.5</v>
      </c>
      <c r="C8" s="12">
        <f>'21.5℃'!H3</f>
        <v>611.94000000000005</v>
      </c>
    </row>
    <row r="9" spans="1:3" x14ac:dyDescent="0.25">
      <c r="A9" s="13">
        <v>100000</v>
      </c>
      <c r="B9" s="6">
        <v>55</v>
      </c>
      <c r="C9" s="14">
        <f>'55℃'!H3</f>
        <v>323.16417910447763</v>
      </c>
    </row>
    <row r="10" spans="1:3" x14ac:dyDescent="0.25">
      <c r="A10" s="15">
        <v>100000</v>
      </c>
      <c r="B10" s="16">
        <v>90</v>
      </c>
      <c r="C10" s="17">
        <f>'90℃'!H3</f>
        <v>192.44642857142858</v>
      </c>
    </row>
    <row r="15" spans="1:3" x14ac:dyDescent="0.25">
      <c r="A15" t="s">
        <v>0</v>
      </c>
      <c r="B15" t="s">
        <v>10</v>
      </c>
      <c r="C15" t="s">
        <v>11</v>
      </c>
    </row>
    <row r="16" spans="1:3" x14ac:dyDescent="0.25">
      <c r="A16" s="19">
        <v>20000</v>
      </c>
      <c r="B16" s="18">
        <f t="shared" ref="B16:B18" si="0">C2-C4</f>
        <v>742.65922217943785</v>
      </c>
      <c r="C16" s="4">
        <f t="shared" ref="C16:C18" si="1">C3-C4</f>
        <v>227.55944893680737</v>
      </c>
    </row>
    <row r="17" spans="1:3" x14ac:dyDescent="0.25">
      <c r="A17" s="19">
        <v>47000</v>
      </c>
      <c r="B17" s="18">
        <f>C5-C7</f>
        <v>550.33823529411768</v>
      </c>
      <c r="C17" s="4">
        <f>C6-C7</f>
        <v>165.39406779661022</v>
      </c>
    </row>
    <row r="18" spans="1:3" x14ac:dyDescent="0.25">
      <c r="A18" s="19">
        <v>100000</v>
      </c>
      <c r="B18" s="18">
        <f>C8-C10</f>
        <v>419.4935714285715</v>
      </c>
      <c r="C18" s="4">
        <f>C9-C10</f>
        <v>130.71775053304904</v>
      </c>
    </row>
    <row r="19" spans="1:3" x14ac:dyDescent="0.25">
      <c r="A19" s="6"/>
      <c r="B19" s="6"/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69028-1247-46F2-AA60-9CF87ED35F09}">
  <dimension ref="A1:I55"/>
  <sheetViews>
    <sheetView tabSelected="1" workbookViewId="0">
      <selection activeCell="B1" sqref="B1"/>
    </sheetView>
  </sheetViews>
  <sheetFormatPr defaultRowHeight="15" x14ac:dyDescent="0.25"/>
  <cols>
    <col min="1" max="1" width="16.7109375" bestFit="1" customWidth="1"/>
    <col min="2" max="2" width="12.28515625" bestFit="1" customWidth="1"/>
    <col min="4" max="4" width="16.7109375" bestFit="1" customWidth="1"/>
    <col min="5" max="5" width="12.28515625" bestFit="1" customWidth="1"/>
    <col min="7" max="7" width="16.7109375" bestFit="1" customWidth="1"/>
    <col min="8" max="8" width="12.28515625" bestFit="1" customWidth="1"/>
  </cols>
  <sheetData>
    <row r="1" spans="1:9" x14ac:dyDescent="0.25">
      <c r="A1" s="1" t="s">
        <v>0</v>
      </c>
      <c r="B1" s="5" t="s">
        <v>4</v>
      </c>
      <c r="C1" s="6"/>
      <c r="D1" s="1" t="s">
        <v>0</v>
      </c>
      <c r="E1" s="5" t="s">
        <v>3</v>
      </c>
      <c r="F1" s="6"/>
      <c r="G1" s="1" t="s">
        <v>0</v>
      </c>
      <c r="H1" s="5" t="s">
        <v>5</v>
      </c>
      <c r="I1" s="6"/>
    </row>
    <row r="2" spans="1:9" x14ac:dyDescent="0.25">
      <c r="A2" s="7" t="s">
        <v>6</v>
      </c>
      <c r="B2" s="8">
        <v>21.5</v>
      </c>
      <c r="C2" s="6"/>
      <c r="D2" s="7" t="s">
        <v>6</v>
      </c>
      <c r="E2" s="8">
        <v>21.5</v>
      </c>
      <c r="F2" s="6"/>
      <c r="G2" s="7" t="s">
        <v>6</v>
      </c>
      <c r="H2" s="8">
        <v>21.5</v>
      </c>
      <c r="I2" s="6"/>
    </row>
    <row r="3" spans="1:9" ht="15.75" thickBot="1" x14ac:dyDescent="0.3">
      <c r="A3" s="2" t="s">
        <v>8</v>
      </c>
      <c r="B3" s="9">
        <f>AVERAGE(Table1[ADC value])</f>
        <v>1499.7346938775511</v>
      </c>
      <c r="D3" s="2" t="s">
        <v>8</v>
      </c>
      <c r="E3" s="9">
        <f>AVERAGE(Table13[ADC value])</f>
        <v>952.58823529411768</v>
      </c>
      <c r="G3" s="2" t="s">
        <v>8</v>
      </c>
      <c r="H3" s="9">
        <f>AVERAGE(Table14[ADC value])</f>
        <v>611.94000000000005</v>
      </c>
    </row>
    <row r="4" spans="1:9" x14ac:dyDescent="0.25">
      <c r="A4" s="3" t="s">
        <v>7</v>
      </c>
      <c r="B4" t="s">
        <v>2</v>
      </c>
      <c r="D4" s="3" t="s">
        <v>7</v>
      </c>
      <c r="E4" t="s">
        <v>2</v>
      </c>
      <c r="G4" s="3" t="s">
        <v>7</v>
      </c>
      <c r="H4" t="s">
        <v>2</v>
      </c>
    </row>
    <row r="5" spans="1:9" x14ac:dyDescent="0.25">
      <c r="A5" s="3">
        <v>0</v>
      </c>
      <c r="B5" s="4">
        <v>1499</v>
      </c>
      <c r="D5" s="3">
        <v>0</v>
      </c>
      <c r="E5">
        <v>938</v>
      </c>
      <c r="G5" s="3">
        <v>0</v>
      </c>
      <c r="H5">
        <v>603</v>
      </c>
    </row>
    <row r="6" spans="1:9" x14ac:dyDescent="0.25">
      <c r="A6" s="3">
        <v>0.5</v>
      </c>
      <c r="B6" s="4">
        <v>1499</v>
      </c>
      <c r="D6" s="3">
        <v>0.5</v>
      </c>
      <c r="E6">
        <v>941</v>
      </c>
      <c r="G6" s="3">
        <v>0.5</v>
      </c>
      <c r="H6">
        <v>611</v>
      </c>
    </row>
    <row r="7" spans="1:9" x14ac:dyDescent="0.25">
      <c r="A7" s="3">
        <v>1</v>
      </c>
      <c r="B7" s="4">
        <v>1529</v>
      </c>
      <c r="D7" s="3">
        <v>1</v>
      </c>
      <c r="E7">
        <v>945</v>
      </c>
      <c r="G7" s="3">
        <v>1</v>
      </c>
      <c r="H7">
        <v>596</v>
      </c>
    </row>
    <row r="8" spans="1:9" x14ac:dyDescent="0.25">
      <c r="A8" s="3">
        <v>1.5</v>
      </c>
      <c r="B8" s="4">
        <v>1511</v>
      </c>
      <c r="D8" s="3">
        <v>1.5</v>
      </c>
      <c r="E8">
        <v>931</v>
      </c>
      <c r="G8" s="3">
        <v>1.5</v>
      </c>
      <c r="H8">
        <v>605</v>
      </c>
    </row>
    <row r="9" spans="1:9" x14ac:dyDescent="0.25">
      <c r="A9" s="3">
        <v>2</v>
      </c>
      <c r="B9" s="4">
        <v>1508</v>
      </c>
      <c r="D9" s="3">
        <v>2</v>
      </c>
      <c r="E9">
        <v>954</v>
      </c>
      <c r="G9" s="3">
        <v>2</v>
      </c>
      <c r="H9">
        <v>588</v>
      </c>
    </row>
    <row r="10" spans="1:9" x14ac:dyDescent="0.25">
      <c r="A10" s="3">
        <v>2.5</v>
      </c>
      <c r="B10" s="4">
        <v>1518</v>
      </c>
      <c r="D10" s="3">
        <v>2.5</v>
      </c>
      <c r="E10">
        <v>947</v>
      </c>
      <c r="G10" s="3">
        <v>2.5</v>
      </c>
      <c r="H10">
        <v>595</v>
      </c>
    </row>
    <row r="11" spans="1:9" x14ac:dyDescent="0.25">
      <c r="A11" s="3">
        <v>3</v>
      </c>
      <c r="B11" s="4">
        <v>1515</v>
      </c>
      <c r="D11" s="3">
        <v>3</v>
      </c>
      <c r="E11">
        <v>944</v>
      </c>
      <c r="G11" s="3">
        <v>3</v>
      </c>
      <c r="H11">
        <v>592</v>
      </c>
    </row>
    <row r="12" spans="1:9" x14ac:dyDescent="0.25">
      <c r="A12" s="3">
        <v>3.5</v>
      </c>
      <c r="B12" s="4">
        <v>1526</v>
      </c>
      <c r="D12" s="3">
        <v>3.5</v>
      </c>
      <c r="E12">
        <v>935</v>
      </c>
      <c r="G12" s="3">
        <v>3.5</v>
      </c>
      <c r="H12">
        <v>594</v>
      </c>
    </row>
    <row r="13" spans="1:9" x14ac:dyDescent="0.25">
      <c r="A13" s="3">
        <v>4</v>
      </c>
      <c r="B13" s="4">
        <v>1495</v>
      </c>
      <c r="D13" s="3">
        <v>4</v>
      </c>
      <c r="E13">
        <v>948</v>
      </c>
      <c r="G13" s="3">
        <v>4</v>
      </c>
      <c r="H13">
        <v>619</v>
      </c>
    </row>
    <row r="14" spans="1:9" x14ac:dyDescent="0.25">
      <c r="A14" s="3">
        <v>4.5</v>
      </c>
      <c r="B14" s="4">
        <v>1513</v>
      </c>
      <c r="D14" s="3">
        <v>4.5</v>
      </c>
      <c r="E14">
        <v>949</v>
      </c>
      <c r="G14" s="3">
        <v>4.5</v>
      </c>
      <c r="H14">
        <v>589</v>
      </c>
    </row>
    <row r="15" spans="1:9" x14ac:dyDescent="0.25">
      <c r="A15" s="3">
        <v>5</v>
      </c>
      <c r="B15" s="4">
        <v>1518</v>
      </c>
      <c r="D15" s="3">
        <v>5</v>
      </c>
      <c r="E15">
        <v>955</v>
      </c>
      <c r="G15" s="3">
        <v>5</v>
      </c>
      <c r="H15">
        <v>627</v>
      </c>
    </row>
    <row r="16" spans="1:9" x14ac:dyDescent="0.25">
      <c r="A16" s="3">
        <v>5.5</v>
      </c>
      <c r="B16" s="4">
        <v>1521</v>
      </c>
      <c r="D16" s="3">
        <v>5.5</v>
      </c>
      <c r="E16">
        <v>944</v>
      </c>
      <c r="G16" s="3">
        <v>5.5</v>
      </c>
      <c r="H16">
        <v>614</v>
      </c>
    </row>
    <row r="17" spans="1:8" x14ac:dyDescent="0.25">
      <c r="A17" s="3">
        <v>6</v>
      </c>
      <c r="B17" s="4">
        <v>1514</v>
      </c>
      <c r="D17" s="3">
        <v>6</v>
      </c>
      <c r="E17">
        <v>947</v>
      </c>
      <c r="G17" s="3">
        <v>6</v>
      </c>
      <c r="H17">
        <v>617</v>
      </c>
    </row>
    <row r="18" spans="1:8" x14ac:dyDescent="0.25">
      <c r="A18" s="3">
        <v>6.5</v>
      </c>
      <c r="B18" s="4">
        <v>1499</v>
      </c>
      <c r="D18" s="3">
        <v>6.5</v>
      </c>
      <c r="E18">
        <v>944</v>
      </c>
      <c r="G18" s="3">
        <v>6.5</v>
      </c>
      <c r="H18">
        <v>603</v>
      </c>
    </row>
    <row r="19" spans="1:8" x14ac:dyDescent="0.25">
      <c r="A19" s="3">
        <v>7</v>
      </c>
      <c r="B19" s="4">
        <v>1495</v>
      </c>
      <c r="D19" s="3">
        <v>7</v>
      </c>
      <c r="E19">
        <v>927</v>
      </c>
      <c r="G19" s="3">
        <v>7</v>
      </c>
      <c r="H19">
        <v>607</v>
      </c>
    </row>
    <row r="20" spans="1:8" x14ac:dyDescent="0.25">
      <c r="A20" s="3">
        <v>7.5</v>
      </c>
      <c r="B20" s="4">
        <v>1505</v>
      </c>
      <c r="D20" s="3">
        <v>7.5</v>
      </c>
      <c r="E20">
        <v>959</v>
      </c>
      <c r="G20" s="3">
        <v>7.5</v>
      </c>
      <c r="H20">
        <v>615</v>
      </c>
    </row>
    <row r="21" spans="1:8" x14ac:dyDescent="0.25">
      <c r="A21" s="3">
        <v>8</v>
      </c>
      <c r="B21" s="4">
        <v>1504</v>
      </c>
      <c r="D21" s="3">
        <v>8</v>
      </c>
      <c r="E21">
        <v>950</v>
      </c>
      <c r="G21" s="3">
        <v>8</v>
      </c>
      <c r="H21">
        <v>617</v>
      </c>
    </row>
    <row r="22" spans="1:8" x14ac:dyDescent="0.25">
      <c r="A22" s="3">
        <v>8.5</v>
      </c>
      <c r="B22" s="4">
        <v>1506</v>
      </c>
      <c r="D22" s="3">
        <v>8.5</v>
      </c>
      <c r="E22">
        <v>944</v>
      </c>
      <c r="G22" s="3">
        <v>8.5</v>
      </c>
      <c r="H22">
        <v>624</v>
      </c>
    </row>
    <row r="23" spans="1:8" x14ac:dyDescent="0.25">
      <c r="A23" s="3">
        <v>9</v>
      </c>
      <c r="B23" s="4">
        <v>1514</v>
      </c>
      <c r="D23" s="3">
        <v>9</v>
      </c>
      <c r="E23">
        <v>955</v>
      </c>
      <c r="G23" s="3">
        <v>9</v>
      </c>
      <c r="H23">
        <v>599</v>
      </c>
    </row>
    <row r="24" spans="1:8" x14ac:dyDescent="0.25">
      <c r="A24" s="3">
        <v>9.5</v>
      </c>
      <c r="B24" s="4">
        <v>1495</v>
      </c>
      <c r="D24" s="3">
        <v>9.5</v>
      </c>
      <c r="E24">
        <v>963</v>
      </c>
      <c r="G24" s="3">
        <v>9.5</v>
      </c>
      <c r="H24">
        <v>610</v>
      </c>
    </row>
    <row r="25" spans="1:8" x14ac:dyDescent="0.25">
      <c r="A25" s="3">
        <v>10</v>
      </c>
      <c r="B25" s="4">
        <v>1505</v>
      </c>
      <c r="D25" s="3">
        <v>10</v>
      </c>
      <c r="E25">
        <v>961</v>
      </c>
      <c r="G25" s="3">
        <v>10</v>
      </c>
      <c r="H25">
        <v>619</v>
      </c>
    </row>
    <row r="26" spans="1:8" x14ac:dyDescent="0.25">
      <c r="A26" s="3">
        <v>10.5</v>
      </c>
      <c r="B26" s="4">
        <v>1494</v>
      </c>
      <c r="D26" s="3">
        <v>10.5</v>
      </c>
      <c r="E26">
        <v>965</v>
      </c>
      <c r="G26" s="3">
        <v>10.5</v>
      </c>
      <c r="H26">
        <v>615</v>
      </c>
    </row>
    <row r="27" spans="1:8" x14ac:dyDescent="0.25">
      <c r="A27" s="3">
        <v>11</v>
      </c>
      <c r="B27" s="4">
        <v>1515</v>
      </c>
      <c r="D27" s="3">
        <v>11</v>
      </c>
      <c r="E27">
        <v>944</v>
      </c>
      <c r="G27" s="3">
        <v>11</v>
      </c>
      <c r="H27">
        <v>613</v>
      </c>
    </row>
    <row r="28" spans="1:8" x14ac:dyDescent="0.25">
      <c r="A28" s="3">
        <v>11.5</v>
      </c>
      <c r="B28" s="4">
        <v>1491</v>
      </c>
      <c r="D28" s="3">
        <v>11.5</v>
      </c>
      <c r="E28">
        <v>958</v>
      </c>
      <c r="G28" s="3">
        <v>11.5</v>
      </c>
      <c r="H28">
        <v>611</v>
      </c>
    </row>
    <row r="29" spans="1:8" x14ac:dyDescent="0.25">
      <c r="A29" s="3">
        <v>12</v>
      </c>
      <c r="B29" s="4">
        <v>1498</v>
      </c>
      <c r="D29" s="3">
        <v>12</v>
      </c>
      <c r="E29">
        <v>961</v>
      </c>
      <c r="G29" s="3">
        <v>12</v>
      </c>
      <c r="H29">
        <v>622</v>
      </c>
    </row>
    <row r="30" spans="1:8" x14ac:dyDescent="0.25">
      <c r="A30" s="3">
        <v>12.5</v>
      </c>
      <c r="B30" s="4">
        <v>1502</v>
      </c>
      <c r="D30" s="3">
        <v>12.5</v>
      </c>
      <c r="E30">
        <v>946</v>
      </c>
      <c r="G30" s="3">
        <v>12.5</v>
      </c>
      <c r="H30">
        <v>615</v>
      </c>
    </row>
    <row r="31" spans="1:8" x14ac:dyDescent="0.25">
      <c r="A31" s="3">
        <v>13</v>
      </c>
      <c r="B31" s="4">
        <v>1494</v>
      </c>
      <c r="D31" s="3">
        <v>13</v>
      </c>
      <c r="E31">
        <v>944</v>
      </c>
      <c r="G31" s="3">
        <v>13</v>
      </c>
      <c r="H31">
        <v>609</v>
      </c>
    </row>
    <row r="32" spans="1:8" x14ac:dyDescent="0.25">
      <c r="A32" s="3">
        <v>13.5</v>
      </c>
      <c r="B32" s="4">
        <v>1488</v>
      </c>
      <c r="D32" s="3">
        <v>13.5</v>
      </c>
      <c r="E32">
        <v>967</v>
      </c>
      <c r="G32" s="3">
        <v>13.5</v>
      </c>
      <c r="H32">
        <v>612</v>
      </c>
    </row>
    <row r="33" spans="1:8" x14ac:dyDescent="0.25">
      <c r="A33" s="3">
        <v>14</v>
      </c>
      <c r="B33" s="4">
        <v>1501</v>
      </c>
      <c r="D33" s="3">
        <v>14</v>
      </c>
      <c r="E33">
        <v>967</v>
      </c>
      <c r="G33" s="3">
        <v>14</v>
      </c>
      <c r="H33">
        <v>624</v>
      </c>
    </row>
    <row r="34" spans="1:8" x14ac:dyDescent="0.25">
      <c r="A34" s="3">
        <v>14.5</v>
      </c>
      <c r="B34" s="4">
        <v>1504</v>
      </c>
      <c r="D34" s="3">
        <v>14.5</v>
      </c>
      <c r="E34">
        <v>946</v>
      </c>
      <c r="G34" s="3">
        <v>14.5</v>
      </c>
      <c r="H34">
        <v>615</v>
      </c>
    </row>
    <row r="35" spans="1:8" x14ac:dyDescent="0.25">
      <c r="A35" s="3">
        <v>15</v>
      </c>
      <c r="B35" s="4">
        <v>1497</v>
      </c>
      <c r="D35" s="3">
        <v>15</v>
      </c>
      <c r="E35">
        <v>944</v>
      </c>
      <c r="G35" s="3">
        <v>15</v>
      </c>
      <c r="H35">
        <v>617</v>
      </c>
    </row>
    <row r="36" spans="1:8" x14ac:dyDescent="0.25">
      <c r="A36" s="3">
        <v>15.5</v>
      </c>
      <c r="B36" s="4">
        <v>1461</v>
      </c>
      <c r="D36" s="3">
        <v>15.5</v>
      </c>
      <c r="E36">
        <v>962</v>
      </c>
      <c r="G36" s="3">
        <v>15.5</v>
      </c>
      <c r="H36">
        <v>618</v>
      </c>
    </row>
    <row r="37" spans="1:8" x14ac:dyDescent="0.25">
      <c r="A37" s="3">
        <v>16</v>
      </c>
      <c r="B37" s="4">
        <v>1490</v>
      </c>
      <c r="D37" s="3">
        <v>16</v>
      </c>
      <c r="E37">
        <v>957</v>
      </c>
      <c r="G37" s="3">
        <v>16</v>
      </c>
      <c r="H37">
        <v>618</v>
      </c>
    </row>
    <row r="38" spans="1:8" x14ac:dyDescent="0.25">
      <c r="A38" s="3">
        <v>16.5</v>
      </c>
      <c r="B38" s="4">
        <v>1499</v>
      </c>
      <c r="D38" s="3">
        <v>16.5</v>
      </c>
      <c r="E38">
        <v>961</v>
      </c>
      <c r="G38" s="3">
        <v>16.5</v>
      </c>
      <c r="H38">
        <v>630</v>
      </c>
    </row>
    <row r="39" spans="1:8" x14ac:dyDescent="0.25">
      <c r="A39" s="3">
        <v>17</v>
      </c>
      <c r="B39" s="4">
        <v>1501</v>
      </c>
      <c r="D39" s="3">
        <v>17</v>
      </c>
      <c r="E39">
        <v>954</v>
      </c>
      <c r="G39" s="3">
        <v>17</v>
      </c>
      <c r="H39">
        <v>616</v>
      </c>
    </row>
    <row r="40" spans="1:8" x14ac:dyDescent="0.25">
      <c r="A40" s="3">
        <v>17.5</v>
      </c>
      <c r="B40" s="4">
        <v>1494</v>
      </c>
      <c r="D40" s="3">
        <v>17.5</v>
      </c>
      <c r="E40">
        <v>953</v>
      </c>
      <c r="G40" s="3">
        <v>17.5</v>
      </c>
      <c r="H40">
        <v>599</v>
      </c>
    </row>
    <row r="41" spans="1:8" x14ac:dyDescent="0.25">
      <c r="A41" s="3">
        <v>18</v>
      </c>
      <c r="B41" s="4">
        <v>1514</v>
      </c>
      <c r="D41" s="3">
        <v>18</v>
      </c>
      <c r="E41">
        <v>957</v>
      </c>
      <c r="G41" s="3">
        <v>18</v>
      </c>
      <c r="H41">
        <v>608</v>
      </c>
    </row>
    <row r="42" spans="1:8" x14ac:dyDescent="0.25">
      <c r="A42" s="3">
        <v>18.5</v>
      </c>
      <c r="B42" s="4">
        <v>1491</v>
      </c>
      <c r="D42" s="3">
        <v>18.5</v>
      </c>
      <c r="E42">
        <v>959</v>
      </c>
      <c r="G42" s="3">
        <v>18.5</v>
      </c>
      <c r="H42">
        <v>623</v>
      </c>
    </row>
    <row r="43" spans="1:8" x14ac:dyDescent="0.25">
      <c r="A43" s="3">
        <v>19</v>
      </c>
      <c r="B43" s="4">
        <v>1488</v>
      </c>
      <c r="D43" s="3">
        <v>19</v>
      </c>
      <c r="E43">
        <v>954</v>
      </c>
      <c r="G43" s="3">
        <v>19</v>
      </c>
      <c r="H43">
        <v>621</v>
      </c>
    </row>
    <row r="44" spans="1:8" x14ac:dyDescent="0.25">
      <c r="A44" s="3">
        <v>19.5</v>
      </c>
      <c r="B44" s="4">
        <v>1490</v>
      </c>
      <c r="D44" s="3">
        <v>19.5</v>
      </c>
      <c r="E44">
        <v>957</v>
      </c>
      <c r="G44" s="3">
        <v>19.5</v>
      </c>
      <c r="H44">
        <v>611</v>
      </c>
    </row>
    <row r="45" spans="1:8" x14ac:dyDescent="0.25">
      <c r="A45" s="3">
        <v>20</v>
      </c>
      <c r="B45" s="4">
        <v>1489</v>
      </c>
      <c r="D45" s="3">
        <v>20</v>
      </c>
      <c r="E45">
        <v>959</v>
      </c>
      <c r="G45" s="3">
        <v>20</v>
      </c>
      <c r="H45">
        <v>619</v>
      </c>
    </row>
    <row r="46" spans="1:8" x14ac:dyDescent="0.25">
      <c r="A46" s="3">
        <v>20.5</v>
      </c>
      <c r="B46" s="4">
        <v>1503</v>
      </c>
      <c r="D46" s="3">
        <v>20.5</v>
      </c>
      <c r="E46">
        <v>960</v>
      </c>
      <c r="G46" s="3">
        <v>20.5</v>
      </c>
      <c r="H46">
        <v>614</v>
      </c>
    </row>
    <row r="47" spans="1:8" x14ac:dyDescent="0.25">
      <c r="A47" s="3">
        <v>21</v>
      </c>
      <c r="B47" s="4">
        <v>1491</v>
      </c>
      <c r="D47" s="3">
        <v>21</v>
      </c>
      <c r="E47">
        <v>974</v>
      </c>
      <c r="G47" s="3">
        <v>21</v>
      </c>
      <c r="H47">
        <v>607</v>
      </c>
    </row>
    <row r="48" spans="1:8" x14ac:dyDescent="0.25">
      <c r="A48" s="3">
        <v>21.5</v>
      </c>
      <c r="B48" s="4">
        <v>1491</v>
      </c>
      <c r="D48" s="3">
        <v>21.5</v>
      </c>
      <c r="E48">
        <v>959</v>
      </c>
      <c r="G48" s="3">
        <v>21.5</v>
      </c>
      <c r="H48">
        <v>624</v>
      </c>
    </row>
    <row r="49" spans="1:8" x14ac:dyDescent="0.25">
      <c r="A49" s="3">
        <v>22</v>
      </c>
      <c r="B49" s="4">
        <v>1476</v>
      </c>
      <c r="D49" s="3">
        <v>22</v>
      </c>
      <c r="E49">
        <v>956</v>
      </c>
      <c r="G49" s="3">
        <v>22</v>
      </c>
      <c r="H49">
        <v>614</v>
      </c>
    </row>
    <row r="50" spans="1:8" x14ac:dyDescent="0.25">
      <c r="A50" s="3">
        <v>22.5</v>
      </c>
      <c r="B50" s="4">
        <v>1479</v>
      </c>
      <c r="D50" s="3">
        <v>22.5</v>
      </c>
      <c r="E50">
        <v>955</v>
      </c>
      <c r="G50" s="3">
        <v>22.5</v>
      </c>
      <c r="H50">
        <v>613</v>
      </c>
    </row>
    <row r="51" spans="1:8" x14ac:dyDescent="0.25">
      <c r="A51" s="3">
        <v>23</v>
      </c>
      <c r="B51" s="4">
        <v>1484</v>
      </c>
      <c r="D51" s="3">
        <v>23</v>
      </c>
      <c r="E51">
        <v>946</v>
      </c>
      <c r="G51" s="3">
        <v>23</v>
      </c>
      <c r="H51">
        <v>610</v>
      </c>
    </row>
    <row r="52" spans="1:8" x14ac:dyDescent="0.25">
      <c r="A52" s="3">
        <v>23.5</v>
      </c>
      <c r="B52" s="4">
        <v>1486</v>
      </c>
      <c r="D52" s="3">
        <v>23.5</v>
      </c>
      <c r="E52">
        <v>955</v>
      </c>
      <c r="G52" s="3">
        <v>23.5</v>
      </c>
      <c r="H52">
        <v>620</v>
      </c>
    </row>
    <row r="53" spans="1:8" x14ac:dyDescent="0.25">
      <c r="A53" s="3">
        <v>24</v>
      </c>
      <c r="B53" s="4">
        <v>1487</v>
      </c>
      <c r="D53" s="3">
        <v>24</v>
      </c>
      <c r="E53">
        <v>953</v>
      </c>
      <c r="G53" s="3">
        <v>24</v>
      </c>
      <c r="H53">
        <v>624</v>
      </c>
    </row>
    <row r="54" spans="1:8" x14ac:dyDescent="0.25">
      <c r="D54" s="3">
        <v>24.5</v>
      </c>
      <c r="E54">
        <v>972</v>
      </c>
      <c r="G54" s="3">
        <v>24.5</v>
      </c>
      <c r="H54">
        <v>611</v>
      </c>
    </row>
    <row r="55" spans="1:8" x14ac:dyDescent="0.25">
      <c r="D55" s="3">
        <v>25</v>
      </c>
      <c r="E55">
        <v>956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6E70A-F1DA-4165-9695-1067099C93FA}">
  <dimension ref="A1:I71"/>
  <sheetViews>
    <sheetView workbookViewId="0">
      <selection activeCell="AC18" sqref="AC18"/>
    </sheetView>
  </sheetViews>
  <sheetFormatPr defaultRowHeight="15" x14ac:dyDescent="0.25"/>
  <cols>
    <col min="1" max="1" width="16.7109375" bestFit="1" customWidth="1"/>
    <col min="2" max="2" width="12.28515625" bestFit="1" customWidth="1"/>
    <col min="4" max="4" width="16.7109375" bestFit="1" customWidth="1"/>
    <col min="5" max="5" width="12.28515625" bestFit="1" customWidth="1"/>
    <col min="7" max="7" width="16.7109375" bestFit="1" customWidth="1"/>
    <col min="8" max="8" width="12.28515625" bestFit="1" customWidth="1"/>
  </cols>
  <sheetData>
    <row r="1" spans="1:9" x14ac:dyDescent="0.25">
      <c r="A1" s="1" t="s">
        <v>0</v>
      </c>
      <c r="B1" s="5" t="s">
        <v>4</v>
      </c>
      <c r="C1" s="6"/>
      <c r="D1" s="1" t="s">
        <v>0</v>
      </c>
      <c r="E1" s="5" t="s">
        <v>3</v>
      </c>
      <c r="F1" s="6"/>
      <c r="G1" s="1" t="s">
        <v>0</v>
      </c>
      <c r="H1" s="5" t="s">
        <v>5</v>
      </c>
      <c r="I1" s="6"/>
    </row>
    <row r="2" spans="1:9" x14ac:dyDescent="0.25">
      <c r="A2" s="7" t="s">
        <v>6</v>
      </c>
      <c r="B2" s="8">
        <v>54.6</v>
      </c>
      <c r="C2" s="6"/>
      <c r="D2" s="7" t="s">
        <v>6</v>
      </c>
      <c r="E2" s="8">
        <v>54.8</v>
      </c>
      <c r="F2" s="6"/>
      <c r="G2" s="7" t="s">
        <v>6</v>
      </c>
      <c r="H2" s="8">
        <v>55.1</v>
      </c>
      <c r="I2" s="6"/>
    </row>
    <row r="3" spans="1:9" ht="15.75" thickBot="1" x14ac:dyDescent="0.3">
      <c r="A3" s="2" t="s">
        <v>8</v>
      </c>
      <c r="B3" s="9">
        <f>AVERAGE(Table15[ADC value])</f>
        <v>984.6349206349206</v>
      </c>
      <c r="D3" s="2" t="s">
        <v>8</v>
      </c>
      <c r="E3" s="9">
        <f>AVERAGE(Table136[ADC value])</f>
        <v>567.64406779661022</v>
      </c>
      <c r="G3" s="2" t="s">
        <v>8</v>
      </c>
      <c r="H3" s="9">
        <f>AVERAGE(Table147[ADC value])</f>
        <v>323.16417910447763</v>
      </c>
    </row>
    <row r="4" spans="1:9" x14ac:dyDescent="0.25">
      <c r="A4" s="3" t="s">
        <v>7</v>
      </c>
      <c r="B4" t="s">
        <v>2</v>
      </c>
      <c r="D4" s="3" t="s">
        <v>7</v>
      </c>
      <c r="E4" t="s">
        <v>2</v>
      </c>
      <c r="G4" s="3" t="s">
        <v>7</v>
      </c>
      <c r="H4" t="s">
        <v>2</v>
      </c>
    </row>
    <row r="5" spans="1:9" x14ac:dyDescent="0.25">
      <c r="A5" s="3">
        <v>0</v>
      </c>
      <c r="B5" s="4">
        <v>959</v>
      </c>
      <c r="D5" s="3">
        <v>0</v>
      </c>
      <c r="E5">
        <v>511</v>
      </c>
      <c r="G5" s="3">
        <v>0</v>
      </c>
      <c r="H5">
        <v>322</v>
      </c>
    </row>
    <row r="6" spans="1:9" x14ac:dyDescent="0.25">
      <c r="A6" s="3">
        <v>0.5</v>
      </c>
      <c r="B6" s="4">
        <v>958</v>
      </c>
      <c r="D6" s="3">
        <v>0.5</v>
      </c>
      <c r="E6">
        <v>507</v>
      </c>
      <c r="G6" s="3">
        <v>0.5</v>
      </c>
      <c r="H6">
        <v>321</v>
      </c>
    </row>
    <row r="7" spans="1:9" x14ac:dyDescent="0.25">
      <c r="A7" s="3">
        <v>1</v>
      </c>
      <c r="B7" s="4">
        <v>949</v>
      </c>
      <c r="D7" s="3">
        <v>1</v>
      </c>
      <c r="E7">
        <v>541</v>
      </c>
      <c r="G7" s="3">
        <v>1</v>
      </c>
      <c r="H7">
        <v>319</v>
      </c>
    </row>
    <row r="8" spans="1:9" x14ac:dyDescent="0.25">
      <c r="A8" s="3">
        <v>1.5</v>
      </c>
      <c r="B8" s="4">
        <v>959</v>
      </c>
      <c r="D8" s="3">
        <v>1.5</v>
      </c>
      <c r="E8">
        <v>525</v>
      </c>
      <c r="G8" s="3">
        <v>1.5</v>
      </c>
      <c r="H8">
        <v>321</v>
      </c>
    </row>
    <row r="9" spans="1:9" x14ac:dyDescent="0.25">
      <c r="A9" s="3">
        <v>2</v>
      </c>
      <c r="B9" s="4">
        <v>970</v>
      </c>
      <c r="D9" s="3">
        <v>2</v>
      </c>
      <c r="E9">
        <v>551</v>
      </c>
      <c r="G9" s="3">
        <v>2</v>
      </c>
      <c r="H9">
        <v>330</v>
      </c>
    </row>
    <row r="10" spans="1:9" x14ac:dyDescent="0.25">
      <c r="A10" s="3">
        <v>2.5</v>
      </c>
      <c r="B10" s="4">
        <v>970</v>
      </c>
      <c r="D10" s="3">
        <v>2.5</v>
      </c>
      <c r="E10">
        <v>545</v>
      </c>
      <c r="G10" s="3">
        <v>2.5</v>
      </c>
      <c r="H10">
        <v>331</v>
      </c>
    </row>
    <row r="11" spans="1:9" x14ac:dyDescent="0.25">
      <c r="A11" s="3">
        <v>3</v>
      </c>
      <c r="B11" s="4">
        <v>961</v>
      </c>
      <c r="D11" s="3">
        <v>3</v>
      </c>
      <c r="E11">
        <v>561</v>
      </c>
      <c r="G11" s="3">
        <v>3</v>
      </c>
      <c r="H11">
        <v>323</v>
      </c>
    </row>
    <row r="12" spans="1:9" x14ac:dyDescent="0.25">
      <c r="A12" s="3">
        <v>3.5</v>
      </c>
      <c r="B12" s="4">
        <v>957</v>
      </c>
      <c r="D12" s="3">
        <v>3.5</v>
      </c>
      <c r="E12">
        <v>547</v>
      </c>
      <c r="G12" s="3">
        <v>3.5</v>
      </c>
      <c r="H12">
        <v>323</v>
      </c>
    </row>
    <row r="13" spans="1:9" x14ac:dyDescent="0.25">
      <c r="A13" s="3">
        <v>4</v>
      </c>
      <c r="B13" s="4">
        <v>967</v>
      </c>
      <c r="D13" s="3">
        <v>4</v>
      </c>
      <c r="E13">
        <v>575</v>
      </c>
      <c r="G13" s="3">
        <v>4</v>
      </c>
      <c r="H13">
        <v>333</v>
      </c>
    </row>
    <row r="14" spans="1:9" x14ac:dyDescent="0.25">
      <c r="A14" s="3">
        <v>4.5</v>
      </c>
      <c r="B14" s="4">
        <v>971</v>
      </c>
      <c r="D14" s="3">
        <v>4.5</v>
      </c>
      <c r="E14">
        <v>555</v>
      </c>
      <c r="G14" s="3">
        <v>4.5</v>
      </c>
      <c r="H14">
        <v>335</v>
      </c>
    </row>
    <row r="15" spans="1:9" x14ac:dyDescent="0.25">
      <c r="A15" s="3">
        <v>5</v>
      </c>
      <c r="B15" s="4">
        <v>963</v>
      </c>
      <c r="D15" s="3">
        <v>5</v>
      </c>
      <c r="E15">
        <v>560</v>
      </c>
      <c r="G15" s="3">
        <v>5</v>
      </c>
      <c r="H15">
        <v>310</v>
      </c>
    </row>
    <row r="16" spans="1:9" x14ac:dyDescent="0.25">
      <c r="A16" s="3">
        <v>5.5</v>
      </c>
      <c r="B16" s="4">
        <v>947</v>
      </c>
      <c r="D16" s="3">
        <v>5.5</v>
      </c>
      <c r="E16">
        <v>561</v>
      </c>
      <c r="G16" s="3">
        <v>5.5</v>
      </c>
      <c r="H16">
        <v>333</v>
      </c>
    </row>
    <row r="17" spans="1:8" x14ac:dyDescent="0.25">
      <c r="A17" s="3">
        <v>6</v>
      </c>
      <c r="B17" s="4">
        <v>976</v>
      </c>
      <c r="D17" s="3">
        <v>6</v>
      </c>
      <c r="E17">
        <v>555</v>
      </c>
      <c r="G17" s="3">
        <v>6</v>
      </c>
      <c r="H17">
        <v>321</v>
      </c>
    </row>
    <row r="18" spans="1:8" x14ac:dyDescent="0.25">
      <c r="A18" s="3">
        <v>6.5</v>
      </c>
      <c r="B18" s="4">
        <v>976</v>
      </c>
      <c r="D18" s="3">
        <v>6.5</v>
      </c>
      <c r="E18">
        <v>558</v>
      </c>
      <c r="G18" s="3">
        <v>6.5</v>
      </c>
      <c r="H18">
        <v>321</v>
      </c>
    </row>
    <row r="19" spans="1:8" x14ac:dyDescent="0.25">
      <c r="A19" s="3">
        <v>7</v>
      </c>
      <c r="B19" s="4">
        <v>988</v>
      </c>
      <c r="D19" s="3">
        <v>7</v>
      </c>
      <c r="E19">
        <v>573</v>
      </c>
      <c r="G19" s="3">
        <v>7</v>
      </c>
      <c r="H19">
        <v>325</v>
      </c>
    </row>
    <row r="20" spans="1:8" x14ac:dyDescent="0.25">
      <c r="A20" s="3">
        <v>7.5</v>
      </c>
      <c r="B20" s="4">
        <v>976</v>
      </c>
      <c r="D20" s="3">
        <v>7.5</v>
      </c>
      <c r="E20">
        <v>560</v>
      </c>
      <c r="G20" s="3">
        <v>7.5</v>
      </c>
      <c r="H20">
        <v>318</v>
      </c>
    </row>
    <row r="21" spans="1:8" x14ac:dyDescent="0.25">
      <c r="A21" s="3">
        <v>8</v>
      </c>
      <c r="B21" s="4">
        <v>989</v>
      </c>
      <c r="D21" s="3">
        <v>8</v>
      </c>
      <c r="E21">
        <v>566</v>
      </c>
      <c r="G21" s="3">
        <v>8</v>
      </c>
      <c r="H21">
        <v>327</v>
      </c>
    </row>
    <row r="22" spans="1:8" x14ac:dyDescent="0.25">
      <c r="A22" s="3">
        <v>8.5</v>
      </c>
      <c r="B22" s="4">
        <v>986</v>
      </c>
      <c r="D22" s="3">
        <v>8.5</v>
      </c>
      <c r="E22">
        <v>576</v>
      </c>
      <c r="G22" s="3">
        <v>8.5</v>
      </c>
      <c r="H22">
        <v>320</v>
      </c>
    </row>
    <row r="23" spans="1:8" x14ac:dyDescent="0.25">
      <c r="A23" s="3">
        <v>9</v>
      </c>
      <c r="B23" s="4">
        <v>963</v>
      </c>
      <c r="D23" s="3">
        <v>9</v>
      </c>
      <c r="E23">
        <v>570</v>
      </c>
      <c r="G23" s="3">
        <v>9</v>
      </c>
      <c r="H23">
        <v>323</v>
      </c>
    </row>
    <row r="24" spans="1:8" x14ac:dyDescent="0.25">
      <c r="A24" s="3">
        <v>9.5</v>
      </c>
      <c r="B24" s="4">
        <v>987</v>
      </c>
      <c r="D24" s="3">
        <v>9.5</v>
      </c>
      <c r="E24">
        <v>574</v>
      </c>
      <c r="G24" s="3">
        <v>9.5</v>
      </c>
      <c r="H24">
        <v>320</v>
      </c>
    </row>
    <row r="25" spans="1:8" x14ac:dyDescent="0.25">
      <c r="A25" s="3">
        <v>10</v>
      </c>
      <c r="B25" s="4">
        <v>993</v>
      </c>
      <c r="D25" s="3">
        <v>10</v>
      </c>
      <c r="E25">
        <v>533</v>
      </c>
      <c r="G25" s="3">
        <v>10</v>
      </c>
      <c r="H25">
        <v>313</v>
      </c>
    </row>
    <row r="26" spans="1:8" x14ac:dyDescent="0.25">
      <c r="A26" s="3">
        <v>10.5</v>
      </c>
      <c r="B26" s="4">
        <v>986</v>
      </c>
      <c r="D26" s="3">
        <v>10.5</v>
      </c>
      <c r="E26">
        <v>558</v>
      </c>
      <c r="G26" s="3">
        <v>10.5</v>
      </c>
      <c r="H26">
        <v>336</v>
      </c>
    </row>
    <row r="27" spans="1:8" x14ac:dyDescent="0.25">
      <c r="A27" s="3">
        <v>11</v>
      </c>
      <c r="B27" s="4">
        <v>969</v>
      </c>
      <c r="D27" s="3">
        <v>11</v>
      </c>
      <c r="E27">
        <v>567</v>
      </c>
      <c r="G27" s="3">
        <v>11</v>
      </c>
      <c r="H27">
        <v>320</v>
      </c>
    </row>
    <row r="28" spans="1:8" x14ac:dyDescent="0.25">
      <c r="A28" s="3">
        <v>11.5</v>
      </c>
      <c r="B28" s="4">
        <v>978</v>
      </c>
      <c r="D28" s="3">
        <v>11.5</v>
      </c>
      <c r="E28">
        <v>566</v>
      </c>
      <c r="G28" s="3">
        <v>11.5</v>
      </c>
      <c r="H28">
        <v>327</v>
      </c>
    </row>
    <row r="29" spans="1:8" x14ac:dyDescent="0.25">
      <c r="A29" s="3">
        <v>12</v>
      </c>
      <c r="B29" s="4">
        <v>989</v>
      </c>
      <c r="D29" s="3">
        <v>12</v>
      </c>
      <c r="E29">
        <v>571</v>
      </c>
      <c r="G29" s="3">
        <v>12</v>
      </c>
      <c r="H29">
        <v>322</v>
      </c>
    </row>
    <row r="30" spans="1:8" x14ac:dyDescent="0.25">
      <c r="A30" s="3">
        <v>12.5</v>
      </c>
      <c r="B30" s="4">
        <v>981</v>
      </c>
      <c r="D30" s="3">
        <v>12.5</v>
      </c>
      <c r="E30">
        <v>573</v>
      </c>
      <c r="G30" s="3">
        <v>12.5</v>
      </c>
      <c r="H30">
        <v>320</v>
      </c>
    </row>
    <row r="31" spans="1:8" x14ac:dyDescent="0.25">
      <c r="A31" s="3">
        <v>13</v>
      </c>
      <c r="B31" s="4">
        <v>974</v>
      </c>
      <c r="D31" s="3">
        <v>13</v>
      </c>
      <c r="E31">
        <v>570</v>
      </c>
      <c r="G31" s="3">
        <v>13</v>
      </c>
      <c r="H31">
        <v>304</v>
      </c>
    </row>
    <row r="32" spans="1:8" x14ac:dyDescent="0.25">
      <c r="A32" s="3">
        <v>13.5</v>
      </c>
      <c r="B32" s="4">
        <v>973</v>
      </c>
      <c r="D32" s="3">
        <v>13.5</v>
      </c>
      <c r="E32">
        <v>562</v>
      </c>
      <c r="G32" s="3">
        <v>13.5</v>
      </c>
      <c r="H32">
        <v>318</v>
      </c>
    </row>
    <row r="33" spans="1:8" x14ac:dyDescent="0.25">
      <c r="A33" s="3">
        <v>14</v>
      </c>
      <c r="B33" s="4">
        <v>986</v>
      </c>
      <c r="D33" s="3">
        <v>14</v>
      </c>
      <c r="E33">
        <v>576</v>
      </c>
      <c r="G33" s="3">
        <v>14</v>
      </c>
      <c r="H33">
        <v>323</v>
      </c>
    </row>
    <row r="34" spans="1:8" x14ac:dyDescent="0.25">
      <c r="A34" s="3">
        <v>14.5</v>
      </c>
      <c r="B34" s="4">
        <v>986</v>
      </c>
      <c r="D34" s="3">
        <v>14.5</v>
      </c>
      <c r="E34">
        <v>560</v>
      </c>
      <c r="G34" s="3">
        <v>14.5</v>
      </c>
      <c r="H34">
        <v>325</v>
      </c>
    </row>
    <row r="35" spans="1:8" x14ac:dyDescent="0.25">
      <c r="A35" s="3">
        <v>15</v>
      </c>
      <c r="B35" s="4">
        <v>976</v>
      </c>
      <c r="D35" s="3">
        <v>15</v>
      </c>
      <c r="E35">
        <v>572</v>
      </c>
      <c r="G35" s="3">
        <v>15</v>
      </c>
      <c r="H35">
        <v>332</v>
      </c>
    </row>
    <row r="36" spans="1:8" x14ac:dyDescent="0.25">
      <c r="A36" s="3">
        <v>15.5</v>
      </c>
      <c r="B36" s="4">
        <v>995</v>
      </c>
      <c r="D36" s="3">
        <v>15.5</v>
      </c>
      <c r="E36">
        <v>564</v>
      </c>
      <c r="G36" s="3">
        <v>15.5</v>
      </c>
      <c r="H36">
        <v>313</v>
      </c>
    </row>
    <row r="37" spans="1:8" x14ac:dyDescent="0.25">
      <c r="A37" s="3">
        <v>16</v>
      </c>
      <c r="B37" s="4">
        <v>1001</v>
      </c>
      <c r="D37" s="3">
        <v>16</v>
      </c>
      <c r="E37">
        <v>585</v>
      </c>
      <c r="G37" s="3">
        <v>16</v>
      </c>
      <c r="H37">
        <v>336</v>
      </c>
    </row>
    <row r="38" spans="1:8" x14ac:dyDescent="0.25">
      <c r="A38" s="3">
        <v>16.5</v>
      </c>
      <c r="B38" s="4">
        <v>991</v>
      </c>
      <c r="D38" s="3">
        <v>16.5</v>
      </c>
      <c r="E38">
        <v>565</v>
      </c>
      <c r="G38" s="3">
        <v>16.5</v>
      </c>
      <c r="H38">
        <v>324</v>
      </c>
    </row>
    <row r="39" spans="1:8" x14ac:dyDescent="0.25">
      <c r="A39" s="3">
        <v>17</v>
      </c>
      <c r="B39" s="4">
        <v>988</v>
      </c>
      <c r="D39" s="3">
        <v>17</v>
      </c>
      <c r="E39">
        <v>565</v>
      </c>
      <c r="G39" s="3">
        <v>17</v>
      </c>
      <c r="H39">
        <v>321</v>
      </c>
    </row>
    <row r="40" spans="1:8" x14ac:dyDescent="0.25">
      <c r="A40" s="3">
        <v>17.5</v>
      </c>
      <c r="B40" s="4">
        <v>987</v>
      </c>
      <c r="D40" s="3">
        <v>17.5</v>
      </c>
      <c r="E40">
        <v>583</v>
      </c>
      <c r="G40" s="3">
        <v>17.5</v>
      </c>
      <c r="H40">
        <v>315</v>
      </c>
    </row>
    <row r="41" spans="1:8" x14ac:dyDescent="0.25">
      <c r="A41" s="3">
        <v>18</v>
      </c>
      <c r="B41" s="4">
        <v>995</v>
      </c>
      <c r="D41" s="3">
        <v>18</v>
      </c>
      <c r="E41">
        <v>567</v>
      </c>
      <c r="G41" s="3">
        <v>18</v>
      </c>
      <c r="H41">
        <v>324</v>
      </c>
    </row>
    <row r="42" spans="1:8" x14ac:dyDescent="0.25">
      <c r="A42" s="3">
        <v>18.5</v>
      </c>
      <c r="B42" s="4">
        <v>1007</v>
      </c>
      <c r="D42" s="3">
        <v>18.5</v>
      </c>
      <c r="E42">
        <v>585</v>
      </c>
      <c r="G42" s="3">
        <v>18.5</v>
      </c>
      <c r="H42">
        <v>332</v>
      </c>
    </row>
    <row r="43" spans="1:8" x14ac:dyDescent="0.25">
      <c r="A43" s="3">
        <v>19</v>
      </c>
      <c r="B43" s="4">
        <v>995</v>
      </c>
      <c r="D43" s="3">
        <v>19</v>
      </c>
      <c r="E43">
        <v>576</v>
      </c>
      <c r="G43" s="3">
        <v>19</v>
      </c>
      <c r="H43">
        <v>336</v>
      </c>
    </row>
    <row r="44" spans="1:8" x14ac:dyDescent="0.25">
      <c r="A44" s="3">
        <v>19.5</v>
      </c>
      <c r="B44" s="4">
        <v>994</v>
      </c>
      <c r="D44" s="3">
        <v>19.5</v>
      </c>
      <c r="E44">
        <v>577</v>
      </c>
      <c r="G44" s="3">
        <v>19.5</v>
      </c>
      <c r="H44">
        <v>322</v>
      </c>
    </row>
    <row r="45" spans="1:8" x14ac:dyDescent="0.25">
      <c r="A45" s="3">
        <v>20</v>
      </c>
      <c r="B45" s="4">
        <v>991</v>
      </c>
      <c r="D45" s="3">
        <v>20</v>
      </c>
      <c r="E45">
        <v>579</v>
      </c>
      <c r="G45" s="3">
        <v>20</v>
      </c>
      <c r="H45">
        <v>326</v>
      </c>
    </row>
    <row r="46" spans="1:8" x14ac:dyDescent="0.25">
      <c r="A46" s="3">
        <v>20.5</v>
      </c>
      <c r="B46" s="4">
        <v>1035</v>
      </c>
      <c r="D46" s="3">
        <v>20.5</v>
      </c>
      <c r="E46">
        <v>579</v>
      </c>
      <c r="G46" s="3">
        <v>20.5</v>
      </c>
      <c r="H46">
        <v>327</v>
      </c>
    </row>
    <row r="47" spans="1:8" x14ac:dyDescent="0.25">
      <c r="A47" s="3">
        <v>21</v>
      </c>
      <c r="B47" s="4">
        <v>1007</v>
      </c>
      <c r="D47" s="3">
        <v>21</v>
      </c>
      <c r="E47">
        <v>586</v>
      </c>
      <c r="G47" s="3">
        <v>21</v>
      </c>
      <c r="H47">
        <v>308</v>
      </c>
    </row>
    <row r="48" spans="1:8" x14ac:dyDescent="0.25">
      <c r="A48" s="3">
        <v>21.5</v>
      </c>
      <c r="B48" s="4">
        <v>995</v>
      </c>
      <c r="D48" s="3">
        <v>21.5</v>
      </c>
      <c r="E48">
        <v>571</v>
      </c>
      <c r="G48" s="3">
        <v>21.5</v>
      </c>
      <c r="H48">
        <v>335</v>
      </c>
    </row>
    <row r="49" spans="1:8" x14ac:dyDescent="0.25">
      <c r="A49" s="3">
        <v>22</v>
      </c>
      <c r="B49" s="4">
        <v>998</v>
      </c>
      <c r="D49" s="3">
        <v>22</v>
      </c>
      <c r="E49">
        <v>577</v>
      </c>
      <c r="G49" s="3">
        <v>22</v>
      </c>
      <c r="H49">
        <v>320</v>
      </c>
    </row>
    <row r="50" spans="1:8" x14ac:dyDescent="0.25">
      <c r="A50" s="3">
        <v>22.5</v>
      </c>
      <c r="B50" s="4">
        <v>994</v>
      </c>
      <c r="D50" s="3">
        <v>22.5</v>
      </c>
      <c r="E50">
        <v>578</v>
      </c>
      <c r="G50" s="3">
        <v>22.5</v>
      </c>
      <c r="H50">
        <v>329</v>
      </c>
    </row>
    <row r="51" spans="1:8" x14ac:dyDescent="0.25">
      <c r="A51" s="3">
        <v>23</v>
      </c>
      <c r="B51" s="4">
        <v>1008</v>
      </c>
      <c r="D51" s="3">
        <v>23</v>
      </c>
      <c r="E51">
        <v>593</v>
      </c>
      <c r="G51" s="3">
        <v>23</v>
      </c>
      <c r="H51">
        <v>344</v>
      </c>
    </row>
    <row r="52" spans="1:8" x14ac:dyDescent="0.25">
      <c r="A52" s="3">
        <v>23.5</v>
      </c>
      <c r="B52" s="4">
        <v>1006</v>
      </c>
      <c r="D52" s="3">
        <v>23.5</v>
      </c>
      <c r="E52">
        <v>592</v>
      </c>
      <c r="G52" s="3">
        <v>23.5</v>
      </c>
      <c r="H52">
        <v>319</v>
      </c>
    </row>
    <row r="53" spans="1:8" x14ac:dyDescent="0.25">
      <c r="A53" s="3">
        <v>24</v>
      </c>
      <c r="B53" s="4">
        <v>998</v>
      </c>
      <c r="D53" s="3">
        <v>24</v>
      </c>
      <c r="E53">
        <v>566</v>
      </c>
      <c r="G53" s="3">
        <v>24</v>
      </c>
      <c r="H53">
        <v>309</v>
      </c>
    </row>
    <row r="54" spans="1:8" x14ac:dyDescent="0.25">
      <c r="A54" s="3">
        <v>24.5</v>
      </c>
      <c r="B54" s="4">
        <v>1003</v>
      </c>
      <c r="D54" s="3">
        <v>24.5</v>
      </c>
      <c r="E54">
        <v>588</v>
      </c>
      <c r="G54" s="3">
        <v>24.5</v>
      </c>
      <c r="H54">
        <v>315</v>
      </c>
    </row>
    <row r="55" spans="1:8" x14ac:dyDescent="0.25">
      <c r="A55" s="3">
        <v>25</v>
      </c>
      <c r="B55" s="4">
        <v>979</v>
      </c>
      <c r="D55" s="3">
        <v>25</v>
      </c>
      <c r="E55">
        <v>575</v>
      </c>
      <c r="G55" s="3">
        <v>25</v>
      </c>
      <c r="H55">
        <v>330</v>
      </c>
    </row>
    <row r="56" spans="1:8" x14ac:dyDescent="0.25">
      <c r="A56" s="3">
        <v>25.5</v>
      </c>
      <c r="B56" s="4">
        <v>981</v>
      </c>
      <c r="D56" s="3">
        <v>25.5</v>
      </c>
      <c r="E56">
        <v>590</v>
      </c>
      <c r="G56" s="3">
        <v>25.5</v>
      </c>
      <c r="H56">
        <v>311</v>
      </c>
    </row>
    <row r="57" spans="1:8" x14ac:dyDescent="0.25">
      <c r="A57" s="3">
        <v>26</v>
      </c>
      <c r="B57" s="4">
        <v>1002</v>
      </c>
      <c r="D57" s="3">
        <v>26</v>
      </c>
      <c r="E57">
        <v>576</v>
      </c>
      <c r="G57" s="3">
        <v>26</v>
      </c>
      <c r="H57">
        <v>331</v>
      </c>
    </row>
    <row r="58" spans="1:8" x14ac:dyDescent="0.25">
      <c r="A58" s="3">
        <v>26.5</v>
      </c>
      <c r="B58" s="4">
        <v>997</v>
      </c>
      <c r="D58" s="3">
        <v>26.5</v>
      </c>
      <c r="E58">
        <v>592</v>
      </c>
      <c r="G58" s="3">
        <v>26.5</v>
      </c>
      <c r="H58">
        <v>318</v>
      </c>
    </row>
    <row r="59" spans="1:8" x14ac:dyDescent="0.25">
      <c r="A59" s="3">
        <v>27</v>
      </c>
      <c r="B59" s="4">
        <v>997</v>
      </c>
      <c r="D59" s="3">
        <v>27</v>
      </c>
      <c r="E59">
        <v>589</v>
      </c>
      <c r="G59" s="3">
        <v>27</v>
      </c>
      <c r="H59">
        <v>325</v>
      </c>
    </row>
    <row r="60" spans="1:8" x14ac:dyDescent="0.25">
      <c r="A60" s="3">
        <v>27.5</v>
      </c>
      <c r="B60" s="4">
        <v>1003</v>
      </c>
      <c r="D60" s="3">
        <v>27.5</v>
      </c>
      <c r="E60">
        <v>578</v>
      </c>
      <c r="G60" s="3">
        <v>27.5</v>
      </c>
      <c r="H60">
        <v>338</v>
      </c>
    </row>
    <row r="61" spans="1:8" x14ac:dyDescent="0.25">
      <c r="A61" s="3">
        <v>28</v>
      </c>
      <c r="B61" s="4">
        <v>1002</v>
      </c>
      <c r="D61" s="3">
        <v>28</v>
      </c>
      <c r="E61">
        <v>580</v>
      </c>
      <c r="G61" s="3">
        <v>28</v>
      </c>
      <c r="H61">
        <v>322</v>
      </c>
    </row>
    <row r="62" spans="1:8" x14ac:dyDescent="0.25">
      <c r="A62" s="3">
        <v>28.5</v>
      </c>
      <c r="B62" s="4">
        <v>985</v>
      </c>
      <c r="D62" s="3">
        <v>28.5</v>
      </c>
      <c r="E62">
        <v>578</v>
      </c>
      <c r="G62" s="3">
        <v>28.5</v>
      </c>
      <c r="H62">
        <v>307</v>
      </c>
    </row>
    <row r="63" spans="1:8" x14ac:dyDescent="0.25">
      <c r="A63" s="3">
        <v>29</v>
      </c>
      <c r="B63" s="4">
        <v>995</v>
      </c>
      <c r="D63" s="3">
        <v>29</v>
      </c>
      <c r="E63">
        <v>578</v>
      </c>
      <c r="G63" s="3">
        <v>29</v>
      </c>
      <c r="H63">
        <v>330</v>
      </c>
    </row>
    <row r="64" spans="1:8" x14ac:dyDescent="0.25">
      <c r="A64" s="3">
        <v>29.5</v>
      </c>
      <c r="B64" s="4">
        <v>991</v>
      </c>
      <c r="G64" s="3">
        <v>29.5</v>
      </c>
      <c r="H64">
        <v>323</v>
      </c>
    </row>
    <row r="65" spans="1:8" x14ac:dyDescent="0.25">
      <c r="A65" s="3">
        <v>30</v>
      </c>
      <c r="B65" s="4">
        <v>990</v>
      </c>
      <c r="G65" s="3">
        <v>30</v>
      </c>
      <c r="H65">
        <v>322</v>
      </c>
    </row>
    <row r="66" spans="1:8" x14ac:dyDescent="0.25">
      <c r="A66" s="3">
        <v>30.5</v>
      </c>
      <c r="B66" s="4">
        <v>977</v>
      </c>
      <c r="G66" s="3">
        <v>30.5</v>
      </c>
      <c r="H66">
        <v>322</v>
      </c>
    </row>
    <row r="67" spans="1:8" x14ac:dyDescent="0.25">
      <c r="A67" s="3">
        <v>31</v>
      </c>
      <c r="B67" s="4">
        <v>982</v>
      </c>
      <c r="G67" s="3">
        <v>31</v>
      </c>
      <c r="H67">
        <v>321</v>
      </c>
    </row>
    <row r="68" spans="1:8" x14ac:dyDescent="0.25">
      <c r="G68" s="3">
        <v>31.5</v>
      </c>
      <c r="H68">
        <v>322</v>
      </c>
    </row>
    <row r="69" spans="1:8" x14ac:dyDescent="0.25">
      <c r="G69" s="3">
        <v>32</v>
      </c>
      <c r="H69">
        <v>325</v>
      </c>
    </row>
    <row r="70" spans="1:8" x14ac:dyDescent="0.25">
      <c r="G70" s="3">
        <v>32.5</v>
      </c>
      <c r="H70">
        <v>311</v>
      </c>
    </row>
    <row r="71" spans="1:8" x14ac:dyDescent="0.25">
      <c r="G71" s="3">
        <v>33</v>
      </c>
      <c r="H71">
        <v>323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BC9E7-8E6F-4814-A130-2674F9A92F41}">
  <dimension ref="A1:I71"/>
  <sheetViews>
    <sheetView workbookViewId="0">
      <selection activeCell="R65" sqref="R65"/>
    </sheetView>
  </sheetViews>
  <sheetFormatPr defaultRowHeight="15" x14ac:dyDescent="0.25"/>
  <cols>
    <col min="1" max="1" width="16.7109375" bestFit="1" customWidth="1"/>
    <col min="2" max="2" width="12.28515625" bestFit="1" customWidth="1"/>
    <col min="4" max="4" width="16.7109375" bestFit="1" customWidth="1"/>
    <col min="5" max="5" width="12.28515625" bestFit="1" customWidth="1"/>
    <col min="7" max="7" width="16.7109375" bestFit="1" customWidth="1"/>
    <col min="8" max="8" width="12.28515625" bestFit="1" customWidth="1"/>
  </cols>
  <sheetData>
    <row r="1" spans="1:9" x14ac:dyDescent="0.25">
      <c r="A1" s="1" t="s">
        <v>0</v>
      </c>
      <c r="B1" s="5" t="s">
        <v>4</v>
      </c>
      <c r="C1" s="6"/>
      <c r="D1" s="1" t="s">
        <v>0</v>
      </c>
      <c r="E1" s="5" t="s">
        <v>3</v>
      </c>
      <c r="F1" s="6"/>
      <c r="G1" s="1" t="s">
        <v>0</v>
      </c>
      <c r="H1" s="5" t="s">
        <v>5</v>
      </c>
      <c r="I1" s="6"/>
    </row>
    <row r="2" spans="1:9" x14ac:dyDescent="0.25">
      <c r="A2" s="7" t="s">
        <v>6</v>
      </c>
      <c r="B2" s="8">
        <v>89.6</v>
      </c>
      <c r="C2" s="6"/>
      <c r="D2" s="7" t="s">
        <v>6</v>
      </c>
      <c r="E2" s="8">
        <v>90.3</v>
      </c>
      <c r="F2" s="6"/>
      <c r="G2" s="7" t="s">
        <v>6</v>
      </c>
      <c r="H2" s="8">
        <v>90</v>
      </c>
      <c r="I2" s="6"/>
    </row>
    <row r="3" spans="1:9" ht="15.75" thickBot="1" x14ac:dyDescent="0.3">
      <c r="A3" s="2" t="s">
        <v>8</v>
      </c>
      <c r="B3" s="9">
        <f>AVERAGE(Table159[ADC value])</f>
        <v>757.07547169811323</v>
      </c>
      <c r="D3" s="2" t="s">
        <v>8</v>
      </c>
      <c r="E3" s="9">
        <f>AVERAGE(Table13610[ADC value])</f>
        <v>402.25</v>
      </c>
      <c r="G3" s="2" t="s">
        <v>8</v>
      </c>
      <c r="H3" s="9">
        <f>AVERAGE(Table14711[ADC value])</f>
        <v>192.44642857142858</v>
      </c>
    </row>
    <row r="4" spans="1:9" x14ac:dyDescent="0.25">
      <c r="A4" s="3" t="s">
        <v>7</v>
      </c>
      <c r="B4" t="s">
        <v>2</v>
      </c>
      <c r="D4" s="3" t="s">
        <v>7</v>
      </c>
      <c r="E4" t="s">
        <v>2</v>
      </c>
      <c r="G4" s="3" t="s">
        <v>7</v>
      </c>
      <c r="H4" t="s">
        <v>2</v>
      </c>
    </row>
    <row r="5" spans="1:9" x14ac:dyDescent="0.25">
      <c r="A5" s="3">
        <v>0</v>
      </c>
      <c r="B5" s="4">
        <v>752</v>
      </c>
      <c r="D5" s="3">
        <v>0</v>
      </c>
      <c r="E5">
        <v>413</v>
      </c>
      <c r="G5" s="3">
        <v>0</v>
      </c>
      <c r="H5">
        <v>209</v>
      </c>
    </row>
    <row r="6" spans="1:9" x14ac:dyDescent="0.25">
      <c r="A6" s="3">
        <v>0.5</v>
      </c>
      <c r="B6" s="4">
        <v>762</v>
      </c>
      <c r="D6" s="3">
        <v>0.5</v>
      </c>
      <c r="E6">
        <v>403</v>
      </c>
      <c r="G6" s="3">
        <v>0.5</v>
      </c>
      <c r="H6">
        <v>201</v>
      </c>
    </row>
    <row r="7" spans="1:9" x14ac:dyDescent="0.25">
      <c r="A7" s="3">
        <v>1</v>
      </c>
      <c r="B7" s="4">
        <v>767</v>
      </c>
      <c r="D7" s="3">
        <v>1</v>
      </c>
      <c r="E7">
        <v>419</v>
      </c>
      <c r="G7" s="3">
        <v>1</v>
      </c>
      <c r="H7">
        <v>195</v>
      </c>
    </row>
    <row r="8" spans="1:9" x14ac:dyDescent="0.25">
      <c r="A8" s="3">
        <v>1.5</v>
      </c>
      <c r="B8" s="4">
        <v>750</v>
      </c>
      <c r="D8" s="3">
        <v>1.5</v>
      </c>
      <c r="E8">
        <v>424</v>
      </c>
      <c r="G8" s="3">
        <v>1.5</v>
      </c>
      <c r="H8">
        <v>181</v>
      </c>
    </row>
    <row r="9" spans="1:9" x14ac:dyDescent="0.25">
      <c r="A9" s="3">
        <v>2</v>
      </c>
      <c r="B9" s="4">
        <v>761</v>
      </c>
      <c r="D9" s="3">
        <v>2</v>
      </c>
      <c r="E9">
        <v>402</v>
      </c>
      <c r="G9" s="3">
        <v>2</v>
      </c>
      <c r="H9">
        <v>190</v>
      </c>
    </row>
    <row r="10" spans="1:9" x14ac:dyDescent="0.25">
      <c r="A10" s="3">
        <v>2.5</v>
      </c>
      <c r="B10" s="4">
        <v>755</v>
      </c>
      <c r="D10" s="3">
        <v>2.5</v>
      </c>
      <c r="E10">
        <v>397</v>
      </c>
      <c r="G10" s="3">
        <v>2.5</v>
      </c>
      <c r="H10">
        <v>176</v>
      </c>
    </row>
    <row r="11" spans="1:9" x14ac:dyDescent="0.25">
      <c r="A11" s="3">
        <v>3</v>
      </c>
      <c r="B11" s="4">
        <v>752</v>
      </c>
      <c r="D11" s="3">
        <v>3</v>
      </c>
      <c r="E11">
        <v>384</v>
      </c>
      <c r="G11" s="3">
        <v>3</v>
      </c>
      <c r="H11">
        <v>196</v>
      </c>
    </row>
    <row r="12" spans="1:9" x14ac:dyDescent="0.25">
      <c r="A12" s="3">
        <v>3.5</v>
      </c>
      <c r="B12" s="4">
        <v>747</v>
      </c>
      <c r="D12" s="3">
        <v>3.5</v>
      </c>
      <c r="E12">
        <v>395</v>
      </c>
      <c r="G12" s="3">
        <v>3.5</v>
      </c>
      <c r="H12">
        <v>208</v>
      </c>
    </row>
    <row r="13" spans="1:9" x14ac:dyDescent="0.25">
      <c r="A13" s="3">
        <v>4</v>
      </c>
      <c r="B13" s="4">
        <v>753</v>
      </c>
      <c r="D13" s="3">
        <v>4</v>
      </c>
      <c r="E13">
        <v>396</v>
      </c>
      <c r="G13" s="3">
        <v>4</v>
      </c>
      <c r="H13">
        <v>193</v>
      </c>
    </row>
    <row r="14" spans="1:9" x14ac:dyDescent="0.25">
      <c r="A14" s="3">
        <v>4.5</v>
      </c>
      <c r="B14" s="4">
        <v>767</v>
      </c>
      <c r="D14" s="3">
        <v>4.5</v>
      </c>
      <c r="E14">
        <v>401</v>
      </c>
      <c r="G14" s="3">
        <v>4.5</v>
      </c>
      <c r="H14">
        <v>197</v>
      </c>
    </row>
    <row r="15" spans="1:9" x14ac:dyDescent="0.25">
      <c r="A15" s="3">
        <v>5</v>
      </c>
      <c r="B15" s="4">
        <v>767</v>
      </c>
      <c r="D15" s="3">
        <v>5</v>
      </c>
      <c r="E15">
        <v>386</v>
      </c>
      <c r="G15" s="3">
        <v>5</v>
      </c>
      <c r="H15">
        <v>190</v>
      </c>
    </row>
    <row r="16" spans="1:9" x14ac:dyDescent="0.25">
      <c r="A16" s="3">
        <v>5.5</v>
      </c>
      <c r="B16" s="4">
        <v>773</v>
      </c>
      <c r="D16" s="3">
        <v>5.5</v>
      </c>
      <c r="E16">
        <v>421</v>
      </c>
      <c r="G16" s="3">
        <v>5.5</v>
      </c>
      <c r="H16">
        <v>194</v>
      </c>
    </row>
    <row r="17" spans="1:8" x14ac:dyDescent="0.25">
      <c r="A17" s="3">
        <v>6</v>
      </c>
      <c r="B17" s="4">
        <v>764</v>
      </c>
      <c r="D17" s="3">
        <v>6</v>
      </c>
      <c r="E17">
        <v>403</v>
      </c>
      <c r="G17" s="3">
        <v>6</v>
      </c>
      <c r="H17">
        <v>206</v>
      </c>
    </row>
    <row r="18" spans="1:8" x14ac:dyDescent="0.25">
      <c r="A18" s="3">
        <v>6.5</v>
      </c>
      <c r="B18" s="4">
        <v>767</v>
      </c>
      <c r="D18" s="3">
        <v>6.5</v>
      </c>
      <c r="E18">
        <v>409</v>
      </c>
      <c r="G18" s="3">
        <v>6.5</v>
      </c>
      <c r="H18">
        <v>206</v>
      </c>
    </row>
    <row r="19" spans="1:8" x14ac:dyDescent="0.25">
      <c r="A19" s="3">
        <v>7</v>
      </c>
      <c r="B19" s="4">
        <v>772</v>
      </c>
      <c r="D19" s="3">
        <v>7</v>
      </c>
      <c r="E19">
        <v>391</v>
      </c>
      <c r="G19" s="3">
        <v>7</v>
      </c>
      <c r="H19">
        <v>183</v>
      </c>
    </row>
    <row r="20" spans="1:8" x14ac:dyDescent="0.25">
      <c r="A20" s="3">
        <v>7.5</v>
      </c>
      <c r="B20" s="4">
        <v>766</v>
      </c>
      <c r="D20" s="3">
        <v>7.5</v>
      </c>
      <c r="E20">
        <v>396</v>
      </c>
      <c r="G20" s="3">
        <v>7.5</v>
      </c>
      <c r="H20">
        <v>194</v>
      </c>
    </row>
    <row r="21" spans="1:8" x14ac:dyDescent="0.25">
      <c r="A21" s="3">
        <v>8</v>
      </c>
      <c r="B21" s="4">
        <v>783</v>
      </c>
      <c r="D21" s="3">
        <v>8</v>
      </c>
      <c r="E21">
        <v>391</v>
      </c>
      <c r="G21" s="3">
        <v>8</v>
      </c>
      <c r="H21">
        <v>181</v>
      </c>
    </row>
    <row r="22" spans="1:8" x14ac:dyDescent="0.25">
      <c r="A22" s="3">
        <v>8.5</v>
      </c>
      <c r="B22" s="4">
        <v>758</v>
      </c>
      <c r="D22" s="3">
        <v>8.5</v>
      </c>
      <c r="E22">
        <v>398</v>
      </c>
      <c r="G22" s="3">
        <v>8.5</v>
      </c>
      <c r="H22">
        <v>192</v>
      </c>
    </row>
    <row r="23" spans="1:8" x14ac:dyDescent="0.25">
      <c r="A23" s="3">
        <v>9</v>
      </c>
      <c r="B23" s="4">
        <v>775</v>
      </c>
      <c r="D23" s="3">
        <v>9</v>
      </c>
      <c r="E23">
        <v>395</v>
      </c>
      <c r="G23" s="3">
        <v>9</v>
      </c>
      <c r="H23">
        <v>195</v>
      </c>
    </row>
    <row r="24" spans="1:8" x14ac:dyDescent="0.25">
      <c r="A24" s="3">
        <v>9.5</v>
      </c>
      <c r="B24" s="4">
        <v>780</v>
      </c>
      <c r="D24" s="3">
        <v>9.5</v>
      </c>
      <c r="E24">
        <v>396</v>
      </c>
      <c r="G24" s="3">
        <v>9.5</v>
      </c>
      <c r="H24">
        <v>186</v>
      </c>
    </row>
    <row r="25" spans="1:8" x14ac:dyDescent="0.25">
      <c r="A25" s="3">
        <v>10</v>
      </c>
      <c r="B25" s="4">
        <v>775</v>
      </c>
      <c r="D25" s="3">
        <v>10</v>
      </c>
      <c r="E25">
        <v>404</v>
      </c>
      <c r="G25" s="3">
        <v>10</v>
      </c>
      <c r="H25">
        <v>201</v>
      </c>
    </row>
    <row r="26" spans="1:8" x14ac:dyDescent="0.25">
      <c r="A26" s="3">
        <v>10.5</v>
      </c>
      <c r="B26" s="4">
        <v>767</v>
      </c>
      <c r="D26" s="3">
        <v>10.5</v>
      </c>
      <c r="E26">
        <v>418</v>
      </c>
      <c r="G26" s="3">
        <v>10.5</v>
      </c>
      <c r="H26">
        <v>200</v>
      </c>
    </row>
    <row r="27" spans="1:8" x14ac:dyDescent="0.25">
      <c r="A27" s="3">
        <v>11</v>
      </c>
      <c r="B27" s="4">
        <v>767</v>
      </c>
      <c r="D27" s="3">
        <v>11</v>
      </c>
      <c r="E27">
        <v>411</v>
      </c>
      <c r="G27" s="3">
        <v>11</v>
      </c>
      <c r="H27">
        <v>187</v>
      </c>
    </row>
    <row r="28" spans="1:8" x14ac:dyDescent="0.25">
      <c r="A28" s="3">
        <v>11.5</v>
      </c>
      <c r="B28" s="4">
        <v>757</v>
      </c>
      <c r="D28" s="3">
        <v>11.5</v>
      </c>
      <c r="E28">
        <v>407</v>
      </c>
      <c r="G28" s="3">
        <v>11.5</v>
      </c>
      <c r="H28">
        <v>193</v>
      </c>
    </row>
    <row r="29" spans="1:8" x14ac:dyDescent="0.25">
      <c r="A29" s="3">
        <v>12</v>
      </c>
      <c r="B29" s="4">
        <v>771</v>
      </c>
      <c r="D29" s="3">
        <v>12</v>
      </c>
      <c r="E29">
        <v>389</v>
      </c>
      <c r="G29" s="3">
        <v>12</v>
      </c>
      <c r="H29">
        <v>197</v>
      </c>
    </row>
    <row r="30" spans="1:8" x14ac:dyDescent="0.25">
      <c r="A30" s="3">
        <v>12.5</v>
      </c>
      <c r="B30" s="4">
        <v>781</v>
      </c>
      <c r="D30" s="3">
        <v>12.5</v>
      </c>
      <c r="E30">
        <v>387</v>
      </c>
      <c r="G30" s="3">
        <v>12.5</v>
      </c>
      <c r="H30">
        <v>192</v>
      </c>
    </row>
    <row r="31" spans="1:8" x14ac:dyDescent="0.25">
      <c r="A31" s="3">
        <v>13</v>
      </c>
      <c r="B31" s="4">
        <v>772</v>
      </c>
      <c r="D31" s="3">
        <v>13</v>
      </c>
      <c r="E31">
        <v>419</v>
      </c>
      <c r="G31" s="3">
        <v>13</v>
      </c>
      <c r="H31">
        <v>193</v>
      </c>
    </row>
    <row r="32" spans="1:8" x14ac:dyDescent="0.25">
      <c r="A32" s="3">
        <v>13.5</v>
      </c>
      <c r="B32" s="4">
        <v>784</v>
      </c>
      <c r="D32" s="3">
        <v>13.5</v>
      </c>
      <c r="E32">
        <v>393</v>
      </c>
      <c r="G32" s="3">
        <v>13.5</v>
      </c>
      <c r="H32">
        <v>193</v>
      </c>
    </row>
    <row r="33" spans="1:8" x14ac:dyDescent="0.25">
      <c r="A33" s="3">
        <v>14</v>
      </c>
      <c r="B33" s="4">
        <v>762</v>
      </c>
      <c r="D33" s="3">
        <v>14</v>
      </c>
      <c r="E33">
        <v>409</v>
      </c>
      <c r="G33" s="3">
        <v>14</v>
      </c>
      <c r="H33">
        <v>190</v>
      </c>
    </row>
    <row r="34" spans="1:8" x14ac:dyDescent="0.25">
      <c r="A34" s="3">
        <v>14.5</v>
      </c>
      <c r="B34" s="4">
        <v>763</v>
      </c>
      <c r="D34" s="3">
        <v>14.5</v>
      </c>
      <c r="E34">
        <v>394</v>
      </c>
      <c r="G34" s="3">
        <v>14.5</v>
      </c>
      <c r="H34">
        <v>185</v>
      </c>
    </row>
    <row r="35" spans="1:8" x14ac:dyDescent="0.25">
      <c r="A35" s="3">
        <v>15</v>
      </c>
      <c r="B35" s="4">
        <v>743</v>
      </c>
      <c r="D35" s="3">
        <v>15</v>
      </c>
      <c r="E35">
        <v>421</v>
      </c>
      <c r="G35" s="3">
        <v>15</v>
      </c>
      <c r="H35">
        <v>191</v>
      </c>
    </row>
    <row r="36" spans="1:8" x14ac:dyDescent="0.25">
      <c r="A36" s="3">
        <v>15.5</v>
      </c>
      <c r="B36" s="4">
        <v>761</v>
      </c>
      <c r="D36" s="3">
        <v>15.5</v>
      </c>
      <c r="E36">
        <v>385</v>
      </c>
      <c r="G36" s="3">
        <v>15.5</v>
      </c>
      <c r="H36">
        <v>195</v>
      </c>
    </row>
    <row r="37" spans="1:8" x14ac:dyDescent="0.25">
      <c r="A37" s="3">
        <v>16</v>
      </c>
      <c r="B37" s="4">
        <v>764</v>
      </c>
      <c r="D37" s="3">
        <v>16</v>
      </c>
      <c r="E37">
        <v>387</v>
      </c>
      <c r="G37" s="3">
        <v>16</v>
      </c>
      <c r="H37">
        <v>191</v>
      </c>
    </row>
    <row r="38" spans="1:8" x14ac:dyDescent="0.25">
      <c r="A38" s="3">
        <v>16.5</v>
      </c>
      <c r="B38" s="4">
        <v>762</v>
      </c>
      <c r="D38" s="3">
        <v>16.5</v>
      </c>
      <c r="E38">
        <v>394</v>
      </c>
      <c r="G38" s="3">
        <v>16.5</v>
      </c>
      <c r="H38">
        <v>185</v>
      </c>
    </row>
    <row r="39" spans="1:8" x14ac:dyDescent="0.25">
      <c r="A39" s="3">
        <v>17</v>
      </c>
      <c r="B39" s="4">
        <v>752</v>
      </c>
      <c r="D39" s="3">
        <v>17</v>
      </c>
      <c r="E39">
        <v>401</v>
      </c>
      <c r="G39" s="3">
        <v>17</v>
      </c>
      <c r="H39">
        <v>203</v>
      </c>
    </row>
    <row r="40" spans="1:8" x14ac:dyDescent="0.25">
      <c r="A40" s="3">
        <v>17.5</v>
      </c>
      <c r="B40" s="4">
        <v>755</v>
      </c>
      <c r="D40" s="3">
        <v>17.5</v>
      </c>
      <c r="E40">
        <v>399</v>
      </c>
      <c r="G40" s="3">
        <v>17.5</v>
      </c>
      <c r="H40">
        <v>196</v>
      </c>
    </row>
    <row r="41" spans="1:8" x14ac:dyDescent="0.25">
      <c r="A41" s="3">
        <v>18</v>
      </c>
      <c r="B41" s="4">
        <v>745</v>
      </c>
      <c r="D41" s="3">
        <v>18</v>
      </c>
      <c r="E41">
        <v>404</v>
      </c>
      <c r="G41" s="3">
        <v>18</v>
      </c>
      <c r="H41">
        <v>190</v>
      </c>
    </row>
    <row r="42" spans="1:8" x14ac:dyDescent="0.25">
      <c r="A42" s="3">
        <v>18.5</v>
      </c>
      <c r="B42" s="4">
        <v>727</v>
      </c>
      <c r="D42" s="3">
        <v>18.5</v>
      </c>
      <c r="E42">
        <v>421</v>
      </c>
      <c r="G42" s="3">
        <v>18.5</v>
      </c>
      <c r="H42">
        <v>195</v>
      </c>
    </row>
    <row r="43" spans="1:8" x14ac:dyDescent="0.25">
      <c r="A43" s="3">
        <v>19</v>
      </c>
      <c r="B43" s="4">
        <v>707</v>
      </c>
      <c r="D43" s="3">
        <v>19</v>
      </c>
      <c r="E43">
        <v>402</v>
      </c>
      <c r="G43" s="3">
        <v>19</v>
      </c>
      <c r="H43">
        <v>190</v>
      </c>
    </row>
    <row r="44" spans="1:8" x14ac:dyDescent="0.25">
      <c r="A44" s="3">
        <v>19.5</v>
      </c>
      <c r="B44" s="4">
        <v>743</v>
      </c>
      <c r="D44" s="3">
        <v>19.5</v>
      </c>
      <c r="E44">
        <v>419</v>
      </c>
      <c r="G44" s="3">
        <v>19.5</v>
      </c>
      <c r="H44">
        <v>187</v>
      </c>
    </row>
    <row r="45" spans="1:8" x14ac:dyDescent="0.25">
      <c r="A45" s="3">
        <v>20</v>
      </c>
      <c r="B45" s="4">
        <v>731</v>
      </c>
      <c r="D45" s="3">
        <v>20</v>
      </c>
      <c r="E45">
        <v>411</v>
      </c>
      <c r="G45" s="3">
        <v>20</v>
      </c>
      <c r="H45">
        <v>178</v>
      </c>
    </row>
    <row r="46" spans="1:8" x14ac:dyDescent="0.25">
      <c r="A46" s="3">
        <v>20.5</v>
      </c>
      <c r="B46" s="4">
        <v>747</v>
      </c>
      <c r="D46" s="3">
        <v>20.5</v>
      </c>
      <c r="E46">
        <v>398</v>
      </c>
      <c r="G46" s="3">
        <v>20.5</v>
      </c>
      <c r="H46">
        <v>192</v>
      </c>
    </row>
    <row r="47" spans="1:8" x14ac:dyDescent="0.25">
      <c r="A47" s="3">
        <v>21</v>
      </c>
      <c r="B47" s="4">
        <v>752</v>
      </c>
      <c r="D47" s="3">
        <v>21</v>
      </c>
      <c r="E47">
        <v>403</v>
      </c>
      <c r="G47" s="3">
        <v>21</v>
      </c>
      <c r="H47">
        <v>201</v>
      </c>
    </row>
    <row r="48" spans="1:8" x14ac:dyDescent="0.25">
      <c r="A48" s="3">
        <v>21.5</v>
      </c>
      <c r="B48" s="4">
        <v>752</v>
      </c>
      <c r="D48" s="3">
        <v>21.5</v>
      </c>
      <c r="E48">
        <v>403</v>
      </c>
      <c r="G48" s="3">
        <v>21.5</v>
      </c>
      <c r="H48">
        <v>177</v>
      </c>
    </row>
    <row r="49" spans="1:8" x14ac:dyDescent="0.25">
      <c r="A49" s="3">
        <v>22</v>
      </c>
      <c r="B49" s="4">
        <v>746</v>
      </c>
      <c r="D49" s="3"/>
      <c r="G49" s="3">
        <v>22</v>
      </c>
      <c r="H49">
        <v>195</v>
      </c>
    </row>
    <row r="50" spans="1:8" x14ac:dyDescent="0.25">
      <c r="A50" s="3">
        <v>22.5</v>
      </c>
      <c r="B50" s="4">
        <v>757</v>
      </c>
      <c r="D50" s="3"/>
      <c r="G50" s="3">
        <v>22.5</v>
      </c>
      <c r="H50">
        <v>183</v>
      </c>
    </row>
    <row r="51" spans="1:8" x14ac:dyDescent="0.25">
      <c r="A51" s="3">
        <v>23</v>
      </c>
      <c r="B51" s="4">
        <v>749</v>
      </c>
      <c r="D51" s="3"/>
      <c r="G51" s="3">
        <v>23</v>
      </c>
      <c r="H51">
        <v>213</v>
      </c>
    </row>
    <row r="52" spans="1:8" x14ac:dyDescent="0.25">
      <c r="A52" s="3">
        <v>23.5</v>
      </c>
      <c r="B52" s="4">
        <v>740</v>
      </c>
      <c r="D52" s="3"/>
      <c r="G52" s="3">
        <v>23.5</v>
      </c>
      <c r="H52">
        <v>187</v>
      </c>
    </row>
    <row r="53" spans="1:8" x14ac:dyDescent="0.25">
      <c r="A53" s="3">
        <v>24</v>
      </c>
      <c r="B53" s="4">
        <v>743</v>
      </c>
      <c r="D53" s="3"/>
      <c r="G53" s="3">
        <v>24</v>
      </c>
      <c r="H53">
        <v>182</v>
      </c>
    </row>
    <row r="54" spans="1:8" x14ac:dyDescent="0.25">
      <c r="A54" s="3">
        <v>24.5</v>
      </c>
      <c r="B54" s="4">
        <v>748</v>
      </c>
      <c r="D54" s="3"/>
      <c r="G54" s="3">
        <v>24.5</v>
      </c>
      <c r="H54">
        <v>189</v>
      </c>
    </row>
    <row r="55" spans="1:8" x14ac:dyDescent="0.25">
      <c r="A55" s="3">
        <v>25</v>
      </c>
      <c r="B55" s="4">
        <v>731</v>
      </c>
      <c r="D55" s="3"/>
      <c r="G55" s="3">
        <v>25</v>
      </c>
      <c r="H55">
        <v>207</v>
      </c>
    </row>
    <row r="56" spans="1:8" x14ac:dyDescent="0.25">
      <c r="A56" s="3">
        <v>25.5</v>
      </c>
      <c r="B56" s="4">
        <v>747</v>
      </c>
      <c r="D56" s="3"/>
      <c r="G56" s="3">
        <v>25.5</v>
      </c>
      <c r="H56">
        <v>188</v>
      </c>
    </row>
    <row r="57" spans="1:8" x14ac:dyDescent="0.25">
      <c r="A57" s="3">
        <v>26</v>
      </c>
      <c r="B57" s="4">
        <v>753</v>
      </c>
      <c r="D57" s="3"/>
      <c r="G57" s="3">
        <v>26</v>
      </c>
      <c r="H57">
        <v>176</v>
      </c>
    </row>
    <row r="58" spans="1:8" x14ac:dyDescent="0.25">
      <c r="A58" s="3"/>
      <c r="B58" s="4"/>
      <c r="D58" s="3"/>
      <c r="G58" s="3">
        <v>26.5</v>
      </c>
      <c r="H58">
        <v>197</v>
      </c>
    </row>
    <row r="59" spans="1:8" x14ac:dyDescent="0.25">
      <c r="A59" s="3"/>
      <c r="B59" s="4"/>
      <c r="D59" s="3"/>
      <c r="G59" s="3">
        <v>27</v>
      </c>
      <c r="H59">
        <v>193</v>
      </c>
    </row>
    <row r="60" spans="1:8" x14ac:dyDescent="0.25">
      <c r="A60" s="3"/>
      <c r="B60" s="4"/>
      <c r="D60" s="3"/>
      <c r="G60" s="3">
        <v>27.5</v>
      </c>
      <c r="H60">
        <v>192</v>
      </c>
    </row>
    <row r="61" spans="1:8" x14ac:dyDescent="0.25">
      <c r="A61" s="3"/>
      <c r="B61" s="4"/>
      <c r="D61" s="3"/>
      <c r="G61" s="3"/>
    </row>
    <row r="62" spans="1:8" x14ac:dyDescent="0.25">
      <c r="A62" s="3"/>
      <c r="B62" s="4"/>
      <c r="D62" s="3"/>
      <c r="G62" s="3"/>
    </row>
    <row r="63" spans="1:8" x14ac:dyDescent="0.25">
      <c r="A63" s="3"/>
      <c r="B63" s="4"/>
      <c r="D63" s="3"/>
      <c r="G63" s="3"/>
    </row>
    <row r="64" spans="1:8" x14ac:dyDescent="0.25">
      <c r="A64" s="3"/>
      <c r="B64" s="4"/>
      <c r="G64" s="3"/>
    </row>
    <row r="65" spans="1:7" x14ac:dyDescent="0.25">
      <c r="A65" s="3"/>
      <c r="B65" s="4"/>
      <c r="G65" s="3"/>
    </row>
    <row r="66" spans="1:7" x14ac:dyDescent="0.25">
      <c r="A66" s="3"/>
      <c r="B66" s="4"/>
      <c r="G66" s="3"/>
    </row>
    <row r="67" spans="1:7" x14ac:dyDescent="0.25">
      <c r="A67" s="3"/>
      <c r="B67" s="4"/>
      <c r="G67" s="3"/>
    </row>
    <row r="68" spans="1:7" x14ac:dyDescent="0.25">
      <c r="G68" s="3"/>
    </row>
    <row r="69" spans="1:7" x14ac:dyDescent="0.25">
      <c r="G69" s="3"/>
    </row>
    <row r="70" spans="1:7" x14ac:dyDescent="0.25">
      <c r="G70" s="3"/>
    </row>
    <row r="71" spans="1:7" x14ac:dyDescent="0.25">
      <c r="G71" s="3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21.5℃</vt:lpstr>
      <vt:lpstr>55℃</vt:lpstr>
      <vt:lpstr>90℃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</dc:creator>
  <cp:lastModifiedBy>Sebastian H</cp:lastModifiedBy>
  <dcterms:created xsi:type="dcterms:W3CDTF">2026-05-30T13:46:01Z</dcterms:created>
  <dcterms:modified xsi:type="dcterms:W3CDTF">2026-05-31T01:11:07Z</dcterms:modified>
</cp:coreProperties>
</file>